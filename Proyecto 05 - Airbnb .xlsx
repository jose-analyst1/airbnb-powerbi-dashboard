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osem\Downloads\JOSE ADE\Proyectos\Proyecto 05 - Airbnb Miryam\"/>
    </mc:Choice>
  </mc:AlternateContent>
  <xr:revisionPtr revIDLastSave="0" documentId="8_{DD185A0D-6C94-4B8B-8355-340DE08281CD}" xr6:coauthVersionLast="47" xr6:coauthVersionMax="47" xr10:uidLastSave="{00000000-0000-0000-0000-000000000000}"/>
  <bookViews>
    <workbookView xWindow="-108" yWindow="-108" windowWidth="23256" windowHeight="12456" xr2:uid="{E56EBABA-43CC-4B08-B751-DBB4C345BDBB}"/>
  </bookViews>
  <sheets>
    <sheet name="Datase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I5" i="1" l="1"/>
  <c r="L5" i="1"/>
  <c r="I6" i="1"/>
  <c r="L6" i="1"/>
  <c r="I7" i="1"/>
  <c r="L7" i="1"/>
  <c r="I8" i="1"/>
  <c r="L8" i="1"/>
  <c r="I9" i="1"/>
  <c r="L9" i="1"/>
  <c r="I10" i="1"/>
  <c r="L10" i="1"/>
  <c r="I11" i="1"/>
  <c r="L11" i="1"/>
  <c r="I12" i="1"/>
  <c r="L12" i="1"/>
  <c r="I13" i="1"/>
  <c r="L13" i="1"/>
  <c r="I14" i="1"/>
  <c r="L14" i="1"/>
  <c r="I15" i="1"/>
  <c r="K15" i="1"/>
  <c r="L15" i="1"/>
  <c r="I16" i="1"/>
  <c r="L16" i="1"/>
  <c r="I17" i="1"/>
  <c r="K17" i="1"/>
  <c r="L17" i="1"/>
  <c r="I18" i="1"/>
  <c r="L18" i="1"/>
  <c r="I19" i="1"/>
  <c r="L19" i="1"/>
  <c r="I20" i="1"/>
  <c r="L20" i="1"/>
  <c r="I21" i="1"/>
  <c r="L21" i="1"/>
  <c r="I22" i="1"/>
  <c r="L22" i="1"/>
  <c r="I23" i="1"/>
  <c r="K23" i="1"/>
  <c r="L23" i="1"/>
  <c r="I24" i="1"/>
  <c r="L24" i="1"/>
  <c r="I25" i="1"/>
  <c r="L25" i="1"/>
  <c r="I26" i="1"/>
  <c r="L26" i="1"/>
  <c r="I27" i="1"/>
  <c r="L27" i="1"/>
  <c r="I28" i="1"/>
  <c r="L28" i="1"/>
  <c r="I29" i="1"/>
  <c r="L29" i="1"/>
  <c r="I30" i="1"/>
  <c r="L30" i="1"/>
  <c r="I31" i="1"/>
  <c r="L31" i="1"/>
  <c r="I32" i="1"/>
  <c r="L32" i="1"/>
  <c r="I33" i="1"/>
  <c r="L33" i="1"/>
  <c r="I34" i="1"/>
  <c r="L34" i="1"/>
  <c r="I35" i="1"/>
  <c r="L35" i="1"/>
  <c r="I36" i="1"/>
  <c r="L36" i="1"/>
  <c r="I37" i="1"/>
  <c r="K37" i="1"/>
  <c r="L37" i="1" s="1"/>
  <c r="I38" i="1"/>
  <c r="L38" i="1"/>
  <c r="I39" i="1"/>
  <c r="L39" i="1"/>
  <c r="I40" i="1"/>
  <c r="L40" i="1"/>
  <c r="I41" i="1"/>
  <c r="L41" i="1"/>
  <c r="I42" i="1"/>
  <c r="L42" i="1"/>
  <c r="I43" i="1"/>
  <c r="L43" i="1"/>
  <c r="I44" i="1"/>
  <c r="L44" i="1"/>
  <c r="I45" i="1"/>
  <c r="K45" i="1"/>
  <c r="L45" i="1" s="1"/>
  <c r="I46" i="1"/>
  <c r="K46" i="1"/>
  <c r="L46" i="1" s="1"/>
  <c r="I47" i="1"/>
  <c r="K47" i="1"/>
  <c r="L47" i="1"/>
  <c r="I48" i="1"/>
  <c r="K48" i="1"/>
  <c r="L48" i="1" s="1"/>
  <c r="K49" i="1"/>
  <c r="L49" i="1" s="1"/>
  <c r="I49" i="1"/>
  <c r="B6" i="1"/>
  <c r="B7" i="1" s="1"/>
  <c r="B8" i="1" s="1"/>
  <c r="B9" i="1" s="1"/>
  <c r="B10" i="1" s="1"/>
  <c r="B11" i="1" s="1"/>
  <c r="B12" i="1" s="1"/>
  <c r="B13" i="1" s="1"/>
  <c r="B14" i="1" s="1"/>
  <c r="B15" i="1" s="1"/>
  <c r="B16" i="1" s="1"/>
  <c r="B17" i="1" s="1"/>
  <c r="B18" i="1" s="1"/>
  <c r="B19" i="1" s="1"/>
  <c r="B20" i="1" s="1"/>
  <c r="B21" i="1" s="1"/>
  <c r="B22" i="1" s="1"/>
  <c r="B23" i="1" s="1"/>
  <c r="B24" i="1" s="1"/>
  <c r="B25" i="1" s="1"/>
  <c r="B26" i="1" s="1"/>
  <c r="B27" i="1" s="1"/>
  <c r="B28" i="1" s="1"/>
  <c r="B29" i="1" s="1"/>
  <c r="B30" i="1" s="1"/>
  <c r="B31" i="1" s="1"/>
  <c r="B32" i="1" s="1"/>
  <c r="B33" i="1" s="1"/>
  <c r="B34" i="1" s="1"/>
  <c r="B35" i="1" s="1"/>
  <c r="B36" i="1" s="1"/>
  <c r="B37" i="1" s="1"/>
  <c r="B38" i="1" s="1"/>
  <c r="B39" i="1" s="1"/>
  <c r="B40" i="1" s="1"/>
  <c r="B41" i="1" s="1"/>
  <c r="B42" i="1" s="1"/>
  <c r="B43" i="1" s="1"/>
  <c r="B44" i="1" s="1"/>
  <c r="B45" i="1" s="1"/>
  <c r="B46" i="1" s="1"/>
  <c r="B47" i="1" s="1"/>
  <c r="B48" i="1" s="1"/>
  <c r="B49" i="1" s="1"/>
</calcChain>
</file>

<file path=xl/sharedStrings.xml><?xml version="1.0" encoding="utf-8"?>
<sst xmlns="http://schemas.openxmlformats.org/spreadsheetml/2006/main" count="290" uniqueCount="86">
  <si>
    <t>ID Reserva</t>
  </si>
  <si>
    <t>Huésped</t>
  </si>
  <si>
    <t>Fecha Entrada</t>
  </si>
  <si>
    <t>Fecha Salida</t>
  </si>
  <si>
    <t>Noches</t>
  </si>
  <si>
    <t>Año</t>
  </si>
  <si>
    <t>Mes</t>
  </si>
  <si>
    <t>Precio/Noche (€)</t>
  </si>
  <si>
    <t>Ingreso (€)</t>
  </si>
  <si>
    <t>Nº Huéspedes</t>
  </si>
  <si>
    <t>Julio</t>
  </si>
  <si>
    <t>Agosto</t>
  </si>
  <si>
    <t>Precio total (€)</t>
  </si>
  <si>
    <t>Comisión 3%+IVA</t>
  </si>
  <si>
    <t>Septiembre</t>
  </si>
  <si>
    <t>Octubre</t>
  </si>
  <si>
    <t>Canal</t>
  </si>
  <si>
    <t>Airbnb</t>
  </si>
  <si>
    <t>Diciembre</t>
  </si>
  <si>
    <t>Enero</t>
  </si>
  <si>
    <t>Febrero</t>
  </si>
  <si>
    <t>Marzo</t>
  </si>
  <si>
    <t>Abril</t>
  </si>
  <si>
    <t>Noviembre</t>
  </si>
  <si>
    <t>Mayo</t>
  </si>
  <si>
    <t>Junio</t>
  </si>
  <si>
    <t>27/07/206</t>
  </si>
  <si>
    <t>24/08/206</t>
  </si>
  <si>
    <t>29/08/206</t>
  </si>
  <si>
    <t>Trimestre</t>
  </si>
  <si>
    <t>Temporada</t>
  </si>
  <si>
    <t>Duración de estancia</t>
  </si>
  <si>
    <t>T3</t>
  </si>
  <si>
    <t>T4</t>
  </si>
  <si>
    <t>T1</t>
  </si>
  <si>
    <t>T2</t>
  </si>
  <si>
    <t>Alta</t>
  </si>
  <si>
    <t>Media</t>
  </si>
  <si>
    <t>Baja</t>
  </si>
  <si>
    <t>Larga</t>
  </si>
  <si>
    <t>Corta</t>
  </si>
  <si>
    <t>Huésped 001</t>
  </si>
  <si>
    <t>Huésped 002</t>
  </si>
  <si>
    <t>Huésped 003</t>
  </si>
  <si>
    <t>Huésped 004</t>
  </si>
  <si>
    <t>Huésped 005</t>
  </si>
  <si>
    <t>Huésped 006</t>
  </si>
  <si>
    <t>Huésped 007</t>
  </si>
  <si>
    <t>Huésped 008</t>
  </si>
  <si>
    <t>Huésped 009</t>
  </si>
  <si>
    <t>Huésped 010</t>
  </si>
  <si>
    <t>Huésped 011</t>
  </si>
  <si>
    <t>Huésped 012</t>
  </si>
  <si>
    <t>Huésped 013</t>
  </si>
  <si>
    <t>Huésped 014</t>
  </si>
  <si>
    <t>Huésped 015</t>
  </si>
  <si>
    <t>Huésped 016</t>
  </si>
  <si>
    <t>Huésped 017</t>
  </si>
  <si>
    <t>Huésped 018</t>
  </si>
  <si>
    <t>Huésped 019</t>
  </si>
  <si>
    <t>Huésped 020</t>
  </si>
  <si>
    <t>Huésped 021</t>
  </si>
  <si>
    <t>Huésped 022</t>
  </si>
  <si>
    <t>Huésped 023</t>
  </si>
  <si>
    <t>Huésped 024</t>
  </si>
  <si>
    <t>Huésped 025</t>
  </si>
  <si>
    <t>Huésped 026</t>
  </si>
  <si>
    <t>Huésped 027</t>
  </si>
  <si>
    <t>Huésped 028</t>
  </si>
  <si>
    <t>Huésped 029</t>
  </si>
  <si>
    <t>Huésped 030</t>
  </si>
  <si>
    <t>Huésped 031</t>
  </si>
  <si>
    <t>Huésped 032</t>
  </si>
  <si>
    <t>Huésped 033</t>
  </si>
  <si>
    <t>Huésped 034</t>
  </si>
  <si>
    <t>Huésped 035</t>
  </si>
  <si>
    <t>Huésped 036</t>
  </si>
  <si>
    <t>Huésped 037</t>
  </si>
  <si>
    <t>Huésped 038</t>
  </si>
  <si>
    <t>Huésped 039</t>
  </si>
  <si>
    <t>Huésped 040</t>
  </si>
  <si>
    <t>Huésped 041</t>
  </si>
  <si>
    <t>Huésped 042</t>
  </si>
  <si>
    <t>Huésped 043</t>
  </si>
  <si>
    <t>Huésped 044</t>
  </si>
  <si>
    <t>Huésped 045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</si>
</sst>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\ &quot;€&quot;"/>
  </numFmts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0" xfId="0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164" fontId="0" fillId="0" borderId="0" xfId="0" applyNumberFormat="1" applyAlignment="1">
      <alignment vertical="center" wrapText="1"/>
    </xf>
    <xf numFmtId="164" fontId="1" fillId="0" borderId="0" xfId="0" applyNumberFormat="1" applyFont="1" applyAlignment="1">
      <alignment horizontal="center" vertical="center" wrapText="1"/>
    </xf>
    <xf numFmtId="164" fontId="0" fillId="0" borderId="0" xfId="0" applyNumberFormat="1"/>
    <xf numFmtId="14" fontId="1" fillId="0" borderId="0" xfId="0" applyNumberFormat="1" applyFont="1" applyAlignment="1">
      <alignment horizontal="center" vertical="center" wrapText="1"/>
    </xf>
    <xf numFmtId="0" fontId="0" fillId="0" borderId="0" xfId="0" applyAlignment="1">
      <alignment horizontal="center"/>
    </xf>
    <xf numFmtId="0" fontId="0" fillId="0" borderId="0" xfId="0" applyAlignment="1">
      <alignment horizontal="right" vertical="center" wrapText="1"/>
    </xf>
    <xf numFmtId="14" fontId="0" fillId="0" borderId="0" xfId="0" applyNumberFormat="1" applyAlignment="1">
      <alignment horizontal="center" vertical="center" wrapText="1"/>
    </xf>
    <xf numFmtId="0" fontId="0" fillId="0" borderId="0" xfId="0" applyAlignment="1">
      <alignment horizontal="center" vertical="center"/>
    </xf>
    <xf numFmtId="14" fontId="0" fillId="0" borderId="0" xfId="0" applyNumberFormat="1" applyAlignment="1">
      <alignment horizontal="center" vertical="center"/>
    </xf>
  </cellXfs>
  <cellStyles count="1">
    <cellStyle name="Normal" xfId="0" builtinId="0"/>
  </cellStyles>
  <dxfs count="15"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164" formatCode="#,##0.00\ &quot;€&quot;"/>
    </dxf>
    <dxf>
      <numFmt numFmtId="164" formatCode="#,##0.00\ &quot;€&quot;"/>
    </dxf>
    <dxf>
      <numFmt numFmtId="164" formatCode="#,##0.00\ &quot;€&quot;"/>
      <alignment horizontal="general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right" vertical="center" textRotation="0" wrapText="1" indent="0" justifyLastLine="0" shrinkToFit="0" readingOrder="0"/>
    </dxf>
    <dxf>
      <numFmt numFmtId="19" formatCode="dd/mm/yyyy"/>
      <alignment horizontal="center" vertical="center" textRotation="0" wrapText="1" indent="0" justifyLastLine="0" shrinkToFit="0" readingOrder="0"/>
    </dxf>
    <dxf>
      <numFmt numFmtId="19" formatCode="dd/mm/yyyy"/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4" formatCode="#,##0.00\ &quot;€&quot;"/>
      <alignment horizontal="center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248A691-B01E-42B0-922B-43675F3801EB}" name="Tabla1" displayName="Tabla1" ref="B4:Q49" totalsRowShown="0" headerRowDxfId="14">
  <autoFilter ref="B4:Q49" xr:uid="{B248A691-B01E-42B0-922B-43675F3801EB}"/>
  <tableColumns count="16">
    <tableColumn id="1" xr3:uid="{51E9545B-0234-4B1A-A0A4-9AB25AB55DB5}" name="ID Reserva" dataDxfId="13">
      <calculatedColumnFormula>1+B4</calculatedColumnFormula>
    </tableColumn>
    <tableColumn id="2" xr3:uid="{A2D8F097-8B12-4144-A7ED-B9AC2E7D9E92}" name="Huésped" dataDxfId="12"/>
    <tableColumn id="3" xr3:uid="{4581F85F-5D3B-4392-99DF-DB1F44ED7975}" name="Fecha Entrada" dataDxfId="11"/>
    <tableColumn id="4" xr3:uid="{8ED342E4-619A-4CD3-B7E4-695BAF196965}" name="Fecha Salida" dataDxfId="10"/>
    <tableColumn id="5" xr3:uid="{CF28CB61-1D16-48BA-B9B9-39300C0782BD}" name="Noches" dataDxfId="9"/>
    <tableColumn id="6" xr3:uid="{BD45FED8-BED0-4E90-A54A-4EEA2E7BEAFA}" name="Año" dataDxfId="8"/>
    <tableColumn id="7" xr3:uid="{98B186B1-0E1B-4913-A8B6-47865EBC15D7}" name="Mes" dataDxfId="7"/>
    <tableColumn id="8" xr3:uid="{DD9371CB-D64C-438C-8829-55ED7B36A31F}" name="Precio/Noche (€)" dataDxfId="6">
      <calculatedColumnFormula>J5/F5</calculatedColumnFormula>
    </tableColumn>
    <tableColumn id="9" xr3:uid="{CA1AC937-EE49-4DE6-A97C-22F71F1FF8E3}" name="Precio total (€)" dataDxfId="5"/>
    <tableColumn id="10" xr3:uid="{F50B167E-4863-404E-B797-529C10BB3730}" name="Comisión 3%+IVA"/>
    <tableColumn id="11" xr3:uid="{A601B2ED-54D0-4458-B6D4-403F839D2F8D}" name="Ingreso (€)" dataDxfId="4">
      <calculatedColumnFormula>J5-K5</calculatedColumnFormula>
    </tableColumn>
    <tableColumn id="12" xr3:uid="{D8EE8910-9C5A-4BE9-8D8E-3C928903A586}" name="Nº Huéspedes"/>
    <tableColumn id="13" xr3:uid="{C83F8323-B33B-4AFC-8C7F-2373A7F05042}" name="Canal" dataDxfId="3"/>
    <tableColumn id="14" xr3:uid="{6FDD52A4-1ADC-4E4D-8985-60F2C1995B8D}" name="Trimestre" dataDxfId="2"/>
    <tableColumn id="15" xr3:uid="{D7213A30-18A8-4C0C-ADB2-4C62E6814A91}" name="Temporada" dataDxfId="1"/>
    <tableColumn id="16" xr3:uid="{725C69B9-BAE7-4DA6-B879-C559042E5419}" name="Duración de estancia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C692F5-477D-4C4A-9EB0-D8DEB7F9AF3A}">
  <dimension ref="B4:Q182"/>
  <sheetViews>
    <sheetView tabSelected="1" topLeftCell="A28" zoomScale="86" workbookViewId="0">
      <selection activeCell="C5" sqref="C5:C49"/>
    </sheetView>
  </sheetViews>
  <sheetFormatPr baseColWidth="10" defaultRowHeight="14.4" x14ac:dyDescent="0.3"/>
  <cols>
    <col min="2" max="2" width="14.77734375" customWidth="1"/>
    <col min="3" max="3" width="12.88671875" style="8" customWidth="1"/>
    <col min="4" max="4" width="19.109375" style="12" customWidth="1"/>
    <col min="5" max="5" width="17.5546875" style="12" customWidth="1"/>
    <col min="7" max="7" width="11.5546875" style="8"/>
    <col min="8" max="8" width="17.109375" style="11" bestFit="1" customWidth="1"/>
    <col min="9" max="9" width="20.88671875" style="6" customWidth="1"/>
    <col min="10" max="10" width="18.5546875" style="6" customWidth="1"/>
    <col min="11" max="11" width="22" style="6" customWidth="1"/>
    <col min="12" max="12" width="14" customWidth="1"/>
    <col min="13" max="13" width="18.33203125" customWidth="1"/>
    <col min="14" max="14" width="11.5546875" style="8"/>
    <col min="15" max="15" width="14.109375" style="11" bestFit="1" customWidth="1"/>
    <col min="16" max="16" width="15.44140625" style="11" bestFit="1" customWidth="1"/>
    <col min="17" max="17" width="23.88671875" style="11" bestFit="1" customWidth="1"/>
  </cols>
  <sheetData>
    <row r="4" spans="2:17" x14ac:dyDescent="0.3">
      <c r="B4" s="2" t="s">
        <v>0</v>
      </c>
      <c r="C4" s="2" t="s">
        <v>1</v>
      </c>
      <c r="D4" s="7" t="s">
        <v>2</v>
      </c>
      <c r="E4" s="7" t="s">
        <v>3</v>
      </c>
      <c r="F4" s="2" t="s">
        <v>4</v>
      </c>
      <c r="G4" s="2" t="s">
        <v>5</v>
      </c>
      <c r="H4" s="2" t="s">
        <v>6</v>
      </c>
      <c r="I4" s="5" t="s">
        <v>7</v>
      </c>
      <c r="J4" s="5" t="s">
        <v>12</v>
      </c>
      <c r="K4" s="5" t="s">
        <v>13</v>
      </c>
      <c r="L4" s="2" t="s">
        <v>8</v>
      </c>
      <c r="M4" s="2" t="s">
        <v>9</v>
      </c>
      <c r="N4" s="5" t="s">
        <v>16</v>
      </c>
      <c r="O4" s="5" t="s">
        <v>29</v>
      </c>
      <c r="P4" s="5" t="s">
        <v>30</v>
      </c>
      <c r="Q4" s="5" t="s">
        <v>31</v>
      </c>
    </row>
    <row r="5" spans="2:17" x14ac:dyDescent="0.3">
      <c r="B5" s="3">
        <v>1</v>
      </c>
      <c r="C5" s="1" t="s">
        <v>41</v>
      </c>
      <c r="D5" s="10">
        <v>45850</v>
      </c>
      <c r="E5" s="10">
        <v>45864</v>
      </c>
      <c r="F5" s="3">
        <v>14</v>
      </c>
      <c r="G5" s="1">
        <v>2025</v>
      </c>
      <c r="H5" s="1" t="s">
        <v>10</v>
      </c>
      <c r="I5" s="4">
        <f>J5/F5</f>
        <v>190</v>
      </c>
      <c r="J5" s="4">
        <v>2660</v>
      </c>
      <c r="K5" s="4">
        <v>96.56</v>
      </c>
      <c r="L5" s="6">
        <f>J5-K5</f>
        <v>2563.44</v>
      </c>
      <c r="M5">
        <v>7</v>
      </c>
      <c r="N5" s="8" t="s">
        <v>17</v>
      </c>
      <c r="O5" s="11" t="s">
        <v>32</v>
      </c>
      <c r="P5" s="11" t="s">
        <v>36</v>
      </c>
      <c r="Q5" s="11" t="s">
        <v>39</v>
      </c>
    </row>
    <row r="6" spans="2:17" x14ac:dyDescent="0.3">
      <c r="B6" s="3">
        <f>1+B5</f>
        <v>2</v>
      </c>
      <c r="C6" s="1" t="s">
        <v>42</v>
      </c>
      <c r="D6" s="10">
        <v>45865</v>
      </c>
      <c r="E6" s="10">
        <v>45872</v>
      </c>
      <c r="F6">
        <v>7</v>
      </c>
      <c r="G6" s="1">
        <v>2025</v>
      </c>
      <c r="H6" s="1" t="s">
        <v>10</v>
      </c>
      <c r="I6" s="4">
        <f t="shared" ref="I6:I49" si="0">J6/F6</f>
        <v>190</v>
      </c>
      <c r="J6" s="6">
        <v>1330</v>
      </c>
      <c r="K6" s="6">
        <v>48.28</v>
      </c>
      <c r="L6" s="6">
        <f>J6-K6</f>
        <v>1281.72</v>
      </c>
      <c r="M6">
        <v>7</v>
      </c>
      <c r="N6" s="8" t="s">
        <v>17</v>
      </c>
      <c r="O6" s="11" t="s">
        <v>32</v>
      </c>
      <c r="P6" s="11" t="s">
        <v>36</v>
      </c>
      <c r="Q6" s="11" t="s">
        <v>37</v>
      </c>
    </row>
    <row r="7" spans="2:17" x14ac:dyDescent="0.3">
      <c r="B7" s="3">
        <f t="shared" ref="B7:B49" si="1">1+B6</f>
        <v>3</v>
      </c>
      <c r="C7" s="1" t="s">
        <v>43</v>
      </c>
      <c r="D7" s="10">
        <v>45872</v>
      </c>
      <c r="E7" s="10">
        <v>45879</v>
      </c>
      <c r="F7">
        <v>7</v>
      </c>
      <c r="G7" s="1">
        <v>2025</v>
      </c>
      <c r="H7" s="11" t="s">
        <v>11</v>
      </c>
      <c r="I7" s="4">
        <f t="shared" si="0"/>
        <v>190</v>
      </c>
      <c r="J7" s="6">
        <v>1330</v>
      </c>
      <c r="K7" s="6">
        <v>48.28</v>
      </c>
      <c r="L7" s="6">
        <f t="shared" ref="L7:L49" si="2">J7-K7</f>
        <v>1281.72</v>
      </c>
      <c r="M7">
        <v>3</v>
      </c>
      <c r="N7" s="8" t="s">
        <v>17</v>
      </c>
      <c r="O7" s="11" t="s">
        <v>32</v>
      </c>
      <c r="P7" s="11" t="s">
        <v>36</v>
      </c>
      <c r="Q7" s="11" t="s">
        <v>37</v>
      </c>
    </row>
    <row r="8" spans="2:17" x14ac:dyDescent="0.3">
      <c r="B8" s="3">
        <f t="shared" si="1"/>
        <v>4</v>
      </c>
      <c r="C8" s="1" t="s">
        <v>44</v>
      </c>
      <c r="D8" s="10">
        <v>45879</v>
      </c>
      <c r="E8" s="10">
        <v>45886</v>
      </c>
      <c r="F8">
        <v>7</v>
      </c>
      <c r="G8" s="1">
        <v>2025</v>
      </c>
      <c r="H8" s="11" t="s">
        <v>11</v>
      </c>
      <c r="I8" s="4">
        <f t="shared" si="0"/>
        <v>190</v>
      </c>
      <c r="J8" s="6">
        <v>1330</v>
      </c>
      <c r="K8" s="6">
        <v>48.28</v>
      </c>
      <c r="L8" s="6">
        <f t="shared" si="2"/>
        <v>1281.72</v>
      </c>
      <c r="M8">
        <v>7</v>
      </c>
      <c r="N8" s="8" t="s">
        <v>17</v>
      </c>
      <c r="O8" s="11" t="s">
        <v>32</v>
      </c>
      <c r="P8" s="11" t="s">
        <v>36</v>
      </c>
      <c r="Q8" s="11" t="s">
        <v>37</v>
      </c>
    </row>
    <row r="9" spans="2:17" x14ac:dyDescent="0.3">
      <c r="B9" s="3">
        <f t="shared" si="1"/>
        <v>5</v>
      </c>
      <c r="C9" s="1" t="s">
        <v>45</v>
      </c>
      <c r="D9" s="10">
        <v>45894</v>
      </c>
      <c r="E9" s="10">
        <v>45900</v>
      </c>
      <c r="F9">
        <v>6</v>
      </c>
      <c r="G9" s="1">
        <v>2025</v>
      </c>
      <c r="H9" s="11" t="s">
        <v>11</v>
      </c>
      <c r="I9" s="4">
        <f t="shared" si="0"/>
        <v>190</v>
      </c>
      <c r="J9" s="6">
        <v>1140</v>
      </c>
      <c r="K9" s="6">
        <v>41.38</v>
      </c>
      <c r="L9" s="6">
        <f t="shared" si="2"/>
        <v>1098.6199999999999</v>
      </c>
      <c r="M9">
        <v>6</v>
      </c>
      <c r="N9" s="8" t="s">
        <v>17</v>
      </c>
      <c r="O9" s="11" t="s">
        <v>32</v>
      </c>
      <c r="P9" s="11" t="s">
        <v>36</v>
      </c>
      <c r="Q9" s="11" t="s">
        <v>37</v>
      </c>
    </row>
    <row r="10" spans="2:17" x14ac:dyDescent="0.3">
      <c r="B10" s="3">
        <f t="shared" si="1"/>
        <v>6</v>
      </c>
      <c r="C10" s="1" t="s">
        <v>46</v>
      </c>
      <c r="D10" s="10">
        <v>45919</v>
      </c>
      <c r="E10" s="10">
        <v>45922</v>
      </c>
      <c r="F10">
        <v>3</v>
      </c>
      <c r="G10" s="1">
        <v>2025</v>
      </c>
      <c r="H10" s="11" t="s">
        <v>14</v>
      </c>
      <c r="I10" s="4">
        <f t="shared" si="0"/>
        <v>160</v>
      </c>
      <c r="J10" s="6">
        <v>480</v>
      </c>
      <c r="K10" s="6">
        <v>17.420000000000002</v>
      </c>
      <c r="L10" s="6">
        <f t="shared" si="2"/>
        <v>462.58</v>
      </c>
      <c r="M10">
        <v>7</v>
      </c>
      <c r="N10" s="8" t="s">
        <v>17</v>
      </c>
      <c r="O10" s="11" t="s">
        <v>32</v>
      </c>
      <c r="P10" s="11" t="s">
        <v>37</v>
      </c>
      <c r="Q10" s="11" t="s">
        <v>40</v>
      </c>
    </row>
    <row r="11" spans="2:17" x14ac:dyDescent="0.3">
      <c r="B11" s="3">
        <f t="shared" si="1"/>
        <v>7</v>
      </c>
      <c r="C11" s="1" t="s">
        <v>47</v>
      </c>
      <c r="D11" s="10">
        <v>45926</v>
      </c>
      <c r="E11" s="10">
        <v>45928</v>
      </c>
      <c r="F11">
        <v>2</v>
      </c>
      <c r="G11" s="1">
        <v>2025</v>
      </c>
      <c r="H11" s="11" t="s">
        <v>14</v>
      </c>
      <c r="I11" s="4">
        <f t="shared" si="0"/>
        <v>175</v>
      </c>
      <c r="J11" s="6">
        <v>350</v>
      </c>
      <c r="K11" s="6">
        <v>12.7</v>
      </c>
      <c r="L11" s="6">
        <f t="shared" si="2"/>
        <v>337.3</v>
      </c>
      <c r="M11">
        <v>4</v>
      </c>
      <c r="N11" s="8" t="s">
        <v>17</v>
      </c>
      <c r="O11" s="11" t="s">
        <v>32</v>
      </c>
      <c r="P11" s="11" t="s">
        <v>37</v>
      </c>
      <c r="Q11" s="11" t="s">
        <v>40</v>
      </c>
    </row>
    <row r="12" spans="2:17" x14ac:dyDescent="0.3">
      <c r="B12" s="3">
        <f t="shared" si="1"/>
        <v>8</v>
      </c>
      <c r="C12" s="1" t="s">
        <v>48</v>
      </c>
      <c r="D12" s="10">
        <v>45933</v>
      </c>
      <c r="E12" s="10">
        <v>45935</v>
      </c>
      <c r="F12">
        <v>2</v>
      </c>
      <c r="G12" s="1">
        <v>2025</v>
      </c>
      <c r="H12" s="11" t="s">
        <v>15</v>
      </c>
      <c r="I12" s="4">
        <f t="shared" si="0"/>
        <v>160</v>
      </c>
      <c r="J12" s="6">
        <v>320</v>
      </c>
      <c r="K12" s="6">
        <v>11.62</v>
      </c>
      <c r="L12" s="6">
        <f t="shared" si="2"/>
        <v>308.38</v>
      </c>
      <c r="M12">
        <v>6</v>
      </c>
      <c r="N12" s="8" t="s">
        <v>17</v>
      </c>
      <c r="O12" s="11" t="s">
        <v>33</v>
      </c>
      <c r="P12" s="11" t="s">
        <v>38</v>
      </c>
      <c r="Q12" s="11" t="s">
        <v>40</v>
      </c>
    </row>
    <row r="13" spans="2:17" x14ac:dyDescent="0.3">
      <c r="B13" s="3">
        <f t="shared" si="1"/>
        <v>9</v>
      </c>
      <c r="C13" s="1" t="s">
        <v>49</v>
      </c>
      <c r="D13" s="10">
        <v>45940</v>
      </c>
      <c r="E13" s="10">
        <v>45943</v>
      </c>
      <c r="F13">
        <v>3</v>
      </c>
      <c r="G13" s="1">
        <v>2025</v>
      </c>
      <c r="H13" s="11" t="s">
        <v>15</v>
      </c>
      <c r="I13" s="4">
        <f t="shared" si="0"/>
        <v>128.33333333333334</v>
      </c>
      <c r="J13" s="6">
        <v>385</v>
      </c>
      <c r="K13" s="6">
        <v>13.98</v>
      </c>
      <c r="L13" s="6">
        <f t="shared" si="2"/>
        <v>371.02</v>
      </c>
      <c r="M13">
        <v>7</v>
      </c>
      <c r="N13" s="8" t="s">
        <v>17</v>
      </c>
      <c r="O13" s="11" t="s">
        <v>33</v>
      </c>
      <c r="P13" s="11" t="s">
        <v>38</v>
      </c>
      <c r="Q13" s="11" t="s">
        <v>40</v>
      </c>
    </row>
    <row r="14" spans="2:17" x14ac:dyDescent="0.3">
      <c r="B14" s="3">
        <f t="shared" si="1"/>
        <v>10</v>
      </c>
      <c r="C14" s="1" t="s">
        <v>50</v>
      </c>
      <c r="D14" s="10">
        <v>45947</v>
      </c>
      <c r="E14" s="10">
        <v>45949</v>
      </c>
      <c r="F14">
        <v>2</v>
      </c>
      <c r="G14" s="1">
        <v>2025</v>
      </c>
      <c r="H14" s="11" t="s">
        <v>15</v>
      </c>
      <c r="I14" s="4">
        <f t="shared" si="0"/>
        <v>160</v>
      </c>
      <c r="J14" s="6">
        <v>320</v>
      </c>
      <c r="K14" s="6">
        <v>11.62</v>
      </c>
      <c r="L14" s="6">
        <f t="shared" si="2"/>
        <v>308.38</v>
      </c>
      <c r="M14">
        <v>8</v>
      </c>
      <c r="N14" s="8" t="s">
        <v>17</v>
      </c>
      <c r="O14" s="11" t="s">
        <v>33</v>
      </c>
      <c r="P14" s="11" t="s">
        <v>38</v>
      </c>
      <c r="Q14" s="11" t="s">
        <v>40</v>
      </c>
    </row>
    <row r="15" spans="2:17" x14ac:dyDescent="0.3">
      <c r="B15" s="3">
        <f t="shared" si="1"/>
        <v>11</v>
      </c>
      <c r="C15" s="1" t="s">
        <v>51</v>
      </c>
      <c r="D15" s="10">
        <v>45952</v>
      </c>
      <c r="E15" s="10">
        <v>45961</v>
      </c>
      <c r="F15">
        <v>9</v>
      </c>
      <c r="G15" s="1">
        <v>2025</v>
      </c>
      <c r="H15" s="11" t="s">
        <v>15</v>
      </c>
      <c r="I15" s="4">
        <f t="shared" si="0"/>
        <v>132.22222222222223</v>
      </c>
      <c r="J15" s="6">
        <v>1190</v>
      </c>
      <c r="K15" s="6">
        <f>178.5+36.72</f>
        <v>215.22</v>
      </c>
      <c r="L15" s="6">
        <f t="shared" si="2"/>
        <v>974.78</v>
      </c>
      <c r="M15">
        <v>6</v>
      </c>
      <c r="N15" s="8" t="s">
        <v>17</v>
      </c>
      <c r="O15" s="11" t="s">
        <v>33</v>
      </c>
      <c r="P15" s="11" t="s">
        <v>38</v>
      </c>
      <c r="Q15" s="11" t="s">
        <v>37</v>
      </c>
    </row>
    <row r="16" spans="2:17" x14ac:dyDescent="0.3">
      <c r="B16" s="3">
        <f t="shared" si="1"/>
        <v>12</v>
      </c>
      <c r="C16" s="1" t="s">
        <v>52</v>
      </c>
      <c r="D16" s="10">
        <v>45961</v>
      </c>
      <c r="E16" s="10">
        <v>45963</v>
      </c>
      <c r="F16">
        <v>2</v>
      </c>
      <c r="G16" s="1">
        <v>2025</v>
      </c>
      <c r="H16" s="11" t="s">
        <v>15</v>
      </c>
      <c r="I16" s="4">
        <f t="shared" si="0"/>
        <v>160</v>
      </c>
      <c r="J16" s="6">
        <v>320</v>
      </c>
      <c r="K16" s="6">
        <v>11.62</v>
      </c>
      <c r="L16" s="6">
        <f t="shared" si="2"/>
        <v>308.38</v>
      </c>
      <c r="M16">
        <v>7</v>
      </c>
      <c r="N16" s="8" t="s">
        <v>17</v>
      </c>
      <c r="O16" s="11" t="s">
        <v>33</v>
      </c>
      <c r="P16" s="11" t="s">
        <v>38</v>
      </c>
      <c r="Q16" s="11" t="s">
        <v>40</v>
      </c>
    </row>
    <row r="17" spans="2:17" x14ac:dyDescent="0.3">
      <c r="B17" s="3">
        <f t="shared" si="1"/>
        <v>13</v>
      </c>
      <c r="C17" s="1" t="s">
        <v>53</v>
      </c>
      <c r="D17" s="10">
        <v>45968</v>
      </c>
      <c r="E17" s="10">
        <v>45975</v>
      </c>
      <c r="F17">
        <v>7</v>
      </c>
      <c r="G17" s="1">
        <v>2025</v>
      </c>
      <c r="H17" s="11" t="s">
        <v>23</v>
      </c>
      <c r="I17" s="4">
        <f t="shared" si="0"/>
        <v>132.14285714285714</v>
      </c>
      <c r="J17" s="6">
        <v>925</v>
      </c>
      <c r="K17" s="6">
        <f>92.5+30.23</f>
        <v>122.73</v>
      </c>
      <c r="L17" s="6">
        <f t="shared" si="2"/>
        <v>802.27</v>
      </c>
      <c r="M17">
        <v>6</v>
      </c>
      <c r="N17" s="8" t="s">
        <v>17</v>
      </c>
      <c r="O17" s="11" t="s">
        <v>33</v>
      </c>
      <c r="P17" s="11" t="s">
        <v>38</v>
      </c>
      <c r="Q17" s="11" t="s">
        <v>37</v>
      </c>
    </row>
    <row r="18" spans="2:17" x14ac:dyDescent="0.3">
      <c r="B18" s="3">
        <f t="shared" si="1"/>
        <v>14</v>
      </c>
      <c r="C18" s="1" t="s">
        <v>54</v>
      </c>
      <c r="D18" s="10">
        <v>45975</v>
      </c>
      <c r="E18" s="10">
        <v>45978</v>
      </c>
      <c r="F18">
        <v>3</v>
      </c>
      <c r="G18" s="1">
        <v>2025</v>
      </c>
      <c r="H18" s="11" t="s">
        <v>23</v>
      </c>
      <c r="I18" s="4">
        <f t="shared" si="0"/>
        <v>250</v>
      </c>
      <c r="J18" s="6">
        <v>750</v>
      </c>
      <c r="K18" s="6">
        <v>27.22</v>
      </c>
      <c r="L18" s="6">
        <f t="shared" si="2"/>
        <v>722.78</v>
      </c>
      <c r="M18">
        <v>6</v>
      </c>
      <c r="N18" s="8" t="s">
        <v>17</v>
      </c>
      <c r="O18" s="11" t="s">
        <v>33</v>
      </c>
      <c r="P18" s="11" t="s">
        <v>38</v>
      </c>
      <c r="Q18" s="11" t="s">
        <v>40</v>
      </c>
    </row>
    <row r="19" spans="2:17" x14ac:dyDescent="0.3">
      <c r="B19" s="3">
        <f t="shared" si="1"/>
        <v>15</v>
      </c>
      <c r="C19" s="1" t="s">
        <v>55</v>
      </c>
      <c r="D19" s="10">
        <v>45982</v>
      </c>
      <c r="E19" s="10">
        <v>45984</v>
      </c>
      <c r="F19">
        <v>2</v>
      </c>
      <c r="G19" s="1">
        <v>2025</v>
      </c>
      <c r="H19" s="11" t="s">
        <v>23</v>
      </c>
      <c r="I19" s="4">
        <f t="shared" si="0"/>
        <v>150</v>
      </c>
      <c r="J19" s="6">
        <v>300</v>
      </c>
      <c r="K19" s="6">
        <v>10.89</v>
      </c>
      <c r="L19" s="6">
        <f t="shared" si="2"/>
        <v>289.11</v>
      </c>
      <c r="M19">
        <v>8</v>
      </c>
      <c r="N19" s="8" t="s">
        <v>17</v>
      </c>
      <c r="O19" s="11" t="s">
        <v>33</v>
      </c>
      <c r="P19" s="11" t="s">
        <v>38</v>
      </c>
      <c r="Q19" s="11" t="s">
        <v>40</v>
      </c>
    </row>
    <row r="20" spans="2:17" x14ac:dyDescent="0.3">
      <c r="B20" s="3">
        <f t="shared" si="1"/>
        <v>16</v>
      </c>
      <c r="C20" s="1" t="s">
        <v>56</v>
      </c>
      <c r="D20" s="10">
        <v>45989</v>
      </c>
      <c r="E20" s="10">
        <v>45991</v>
      </c>
      <c r="F20">
        <v>2</v>
      </c>
      <c r="G20" s="1">
        <v>2025</v>
      </c>
      <c r="H20" s="11" t="s">
        <v>23</v>
      </c>
      <c r="I20" s="4">
        <f t="shared" si="0"/>
        <v>160</v>
      </c>
      <c r="J20" s="6">
        <v>320</v>
      </c>
      <c r="K20" s="6">
        <v>11.62</v>
      </c>
      <c r="L20" s="6">
        <f t="shared" si="2"/>
        <v>308.38</v>
      </c>
      <c r="M20">
        <v>6</v>
      </c>
      <c r="N20" s="8" t="s">
        <v>17</v>
      </c>
      <c r="O20" s="11" t="s">
        <v>33</v>
      </c>
      <c r="P20" s="11" t="s">
        <v>38</v>
      </c>
      <c r="Q20" s="11" t="s">
        <v>40</v>
      </c>
    </row>
    <row r="21" spans="2:17" x14ac:dyDescent="0.3">
      <c r="B21" s="3">
        <f t="shared" si="1"/>
        <v>17</v>
      </c>
      <c r="C21" s="1" t="s">
        <v>57</v>
      </c>
      <c r="D21" s="10">
        <v>45996</v>
      </c>
      <c r="E21" s="10">
        <v>45999</v>
      </c>
      <c r="F21">
        <v>3</v>
      </c>
      <c r="G21" s="1">
        <v>2025</v>
      </c>
      <c r="H21" s="11" t="s">
        <v>18</v>
      </c>
      <c r="I21" s="4">
        <f t="shared" si="0"/>
        <v>158.33333333333334</v>
      </c>
      <c r="J21">
        <v>475</v>
      </c>
      <c r="K21" s="6">
        <v>17.239999999999998</v>
      </c>
      <c r="L21" s="6">
        <f t="shared" si="2"/>
        <v>457.76</v>
      </c>
      <c r="M21">
        <v>8</v>
      </c>
      <c r="N21" s="8" t="s">
        <v>17</v>
      </c>
      <c r="O21" s="11" t="s">
        <v>33</v>
      </c>
      <c r="P21" s="11" t="s">
        <v>36</v>
      </c>
      <c r="Q21" s="11" t="s">
        <v>40</v>
      </c>
    </row>
    <row r="22" spans="2:17" x14ac:dyDescent="0.3">
      <c r="B22" s="3">
        <f t="shared" si="1"/>
        <v>18</v>
      </c>
      <c r="C22" s="1" t="s">
        <v>58</v>
      </c>
      <c r="D22" s="10">
        <v>46010</v>
      </c>
      <c r="E22" s="10">
        <v>46012</v>
      </c>
      <c r="F22">
        <v>2</v>
      </c>
      <c r="G22" s="1">
        <v>2025</v>
      </c>
      <c r="H22" s="11" t="s">
        <v>18</v>
      </c>
      <c r="I22" s="4">
        <f t="shared" si="0"/>
        <v>160</v>
      </c>
      <c r="J22" s="6">
        <v>320</v>
      </c>
      <c r="K22" s="6">
        <v>11.62</v>
      </c>
      <c r="L22" s="6">
        <f t="shared" si="2"/>
        <v>308.38</v>
      </c>
      <c r="M22">
        <v>7</v>
      </c>
      <c r="N22" s="8" t="s">
        <v>17</v>
      </c>
      <c r="O22" s="11" t="s">
        <v>33</v>
      </c>
      <c r="P22" s="11" t="s">
        <v>36</v>
      </c>
      <c r="Q22" s="11" t="s">
        <v>40</v>
      </c>
    </row>
    <row r="23" spans="2:17" x14ac:dyDescent="0.3">
      <c r="B23" s="3">
        <f t="shared" si="1"/>
        <v>19</v>
      </c>
      <c r="C23" s="1" t="s">
        <v>59</v>
      </c>
      <c r="D23" s="10">
        <v>46014</v>
      </c>
      <c r="E23" s="10">
        <v>45659</v>
      </c>
      <c r="F23">
        <v>10</v>
      </c>
      <c r="G23" s="1">
        <v>2025</v>
      </c>
      <c r="H23" s="11" t="s">
        <v>18</v>
      </c>
      <c r="I23" s="4">
        <f t="shared" si="0"/>
        <v>182</v>
      </c>
      <c r="J23" s="6">
        <v>1820</v>
      </c>
      <c r="K23">
        <f>273+56.16</f>
        <v>329.15999999999997</v>
      </c>
      <c r="L23" s="6">
        <f t="shared" si="2"/>
        <v>1490.8400000000001</v>
      </c>
      <c r="M23">
        <v>6</v>
      </c>
      <c r="N23" s="8" t="s">
        <v>17</v>
      </c>
      <c r="O23" s="11" t="s">
        <v>33</v>
      </c>
      <c r="P23" s="11" t="s">
        <v>36</v>
      </c>
      <c r="Q23" s="11" t="s">
        <v>37</v>
      </c>
    </row>
    <row r="24" spans="2:17" x14ac:dyDescent="0.3">
      <c r="B24" s="3">
        <f t="shared" si="1"/>
        <v>20</v>
      </c>
      <c r="C24" s="1" t="s">
        <v>60</v>
      </c>
      <c r="D24" s="10">
        <v>46024</v>
      </c>
      <c r="E24" s="10">
        <v>46026</v>
      </c>
      <c r="F24" s="9">
        <v>2</v>
      </c>
      <c r="G24" s="1">
        <v>2026</v>
      </c>
      <c r="H24" s="1" t="s">
        <v>19</v>
      </c>
      <c r="I24" s="4">
        <f t="shared" si="0"/>
        <v>160</v>
      </c>
      <c r="J24" s="6">
        <v>320</v>
      </c>
      <c r="K24" s="6">
        <v>11.62</v>
      </c>
      <c r="L24" s="6">
        <f t="shared" si="2"/>
        <v>308.38</v>
      </c>
      <c r="M24">
        <v>9</v>
      </c>
      <c r="N24" s="8" t="s">
        <v>17</v>
      </c>
      <c r="O24" s="11" t="s">
        <v>34</v>
      </c>
      <c r="P24" s="11" t="s">
        <v>38</v>
      </c>
      <c r="Q24" s="11" t="s">
        <v>40</v>
      </c>
    </row>
    <row r="25" spans="2:17" x14ac:dyDescent="0.3">
      <c r="B25" s="3">
        <f t="shared" si="1"/>
        <v>21</v>
      </c>
      <c r="C25" s="1" t="s">
        <v>61</v>
      </c>
      <c r="D25" s="10">
        <v>46031</v>
      </c>
      <c r="E25" s="10">
        <v>46033</v>
      </c>
      <c r="F25" s="9">
        <v>2</v>
      </c>
      <c r="G25" s="1">
        <v>2026</v>
      </c>
      <c r="H25" s="1" t="s">
        <v>19</v>
      </c>
      <c r="I25" s="4">
        <f t="shared" si="0"/>
        <v>150</v>
      </c>
      <c r="J25" s="6">
        <v>300</v>
      </c>
      <c r="K25" s="6">
        <v>10.89</v>
      </c>
      <c r="L25" s="6">
        <f t="shared" si="2"/>
        <v>289.11</v>
      </c>
      <c r="M25">
        <v>6</v>
      </c>
      <c r="N25" s="8" t="s">
        <v>17</v>
      </c>
      <c r="O25" s="11" t="s">
        <v>34</v>
      </c>
      <c r="P25" s="11" t="s">
        <v>38</v>
      </c>
      <c r="Q25" s="11" t="s">
        <v>40</v>
      </c>
    </row>
    <row r="26" spans="2:17" x14ac:dyDescent="0.3">
      <c r="B26" s="3">
        <f t="shared" si="1"/>
        <v>22</v>
      </c>
      <c r="C26" s="1" t="s">
        <v>62</v>
      </c>
      <c r="D26" s="10">
        <v>46038</v>
      </c>
      <c r="E26" s="10">
        <v>46040</v>
      </c>
      <c r="F26" s="9">
        <v>2</v>
      </c>
      <c r="G26" s="1">
        <v>2026</v>
      </c>
      <c r="H26" s="1" t="s">
        <v>19</v>
      </c>
      <c r="I26" s="4">
        <f t="shared" si="0"/>
        <v>150</v>
      </c>
      <c r="J26" s="6">
        <v>300</v>
      </c>
      <c r="K26" s="6">
        <v>10.89</v>
      </c>
      <c r="L26" s="6">
        <f t="shared" si="2"/>
        <v>289.11</v>
      </c>
      <c r="M26">
        <v>7</v>
      </c>
      <c r="N26" s="8" t="s">
        <v>17</v>
      </c>
      <c r="O26" s="11" t="s">
        <v>34</v>
      </c>
      <c r="P26" s="11" t="s">
        <v>38</v>
      </c>
      <c r="Q26" s="11" t="s">
        <v>40</v>
      </c>
    </row>
    <row r="27" spans="2:17" x14ac:dyDescent="0.3">
      <c r="B27" s="3">
        <f t="shared" si="1"/>
        <v>23</v>
      </c>
      <c r="C27" s="1" t="s">
        <v>63</v>
      </c>
      <c r="D27" s="10">
        <v>46052</v>
      </c>
      <c r="E27" s="10">
        <v>46054</v>
      </c>
      <c r="F27" s="9">
        <v>2</v>
      </c>
      <c r="G27" s="1">
        <v>2026</v>
      </c>
      <c r="H27" s="1" t="s">
        <v>19</v>
      </c>
      <c r="I27" s="4">
        <f t="shared" si="0"/>
        <v>150</v>
      </c>
      <c r="J27" s="6">
        <v>300</v>
      </c>
      <c r="K27" s="6">
        <v>10.89</v>
      </c>
      <c r="L27" s="6">
        <f t="shared" si="2"/>
        <v>289.11</v>
      </c>
      <c r="M27">
        <v>9</v>
      </c>
      <c r="N27" s="8" t="s">
        <v>17</v>
      </c>
      <c r="O27" s="11" t="s">
        <v>34</v>
      </c>
      <c r="P27" s="11" t="s">
        <v>38</v>
      </c>
      <c r="Q27" s="11" t="s">
        <v>40</v>
      </c>
    </row>
    <row r="28" spans="2:17" x14ac:dyDescent="0.3">
      <c r="B28" s="3">
        <f t="shared" si="1"/>
        <v>24</v>
      </c>
      <c r="C28" s="1" t="s">
        <v>64</v>
      </c>
      <c r="D28" s="10">
        <v>46066</v>
      </c>
      <c r="E28" s="10">
        <v>46068</v>
      </c>
      <c r="F28" s="9">
        <v>2</v>
      </c>
      <c r="G28" s="1">
        <v>2026</v>
      </c>
      <c r="H28" s="1" t="s">
        <v>20</v>
      </c>
      <c r="I28" s="4">
        <f t="shared" si="0"/>
        <v>160</v>
      </c>
      <c r="J28" s="6">
        <v>320</v>
      </c>
      <c r="K28" s="6">
        <v>11.62</v>
      </c>
      <c r="L28" s="6">
        <f t="shared" si="2"/>
        <v>308.38</v>
      </c>
      <c r="M28">
        <v>7</v>
      </c>
      <c r="N28" s="8" t="s">
        <v>17</v>
      </c>
      <c r="O28" s="11" t="s">
        <v>34</v>
      </c>
      <c r="P28" s="11" t="s">
        <v>38</v>
      </c>
      <c r="Q28" s="11" t="s">
        <v>40</v>
      </c>
    </row>
    <row r="29" spans="2:17" x14ac:dyDescent="0.3">
      <c r="B29" s="3">
        <f t="shared" si="1"/>
        <v>25</v>
      </c>
      <c r="C29" s="1" t="s">
        <v>65</v>
      </c>
      <c r="D29" s="10">
        <v>46073</v>
      </c>
      <c r="E29" s="10">
        <v>46075</v>
      </c>
      <c r="F29" s="9">
        <v>2</v>
      </c>
      <c r="G29" s="1">
        <v>2026</v>
      </c>
      <c r="H29" s="1" t="s">
        <v>20</v>
      </c>
      <c r="I29" s="4">
        <f t="shared" si="0"/>
        <v>160</v>
      </c>
      <c r="J29" s="6">
        <v>320</v>
      </c>
      <c r="K29" s="6">
        <v>11.62</v>
      </c>
      <c r="L29" s="6">
        <f t="shared" si="2"/>
        <v>308.38</v>
      </c>
      <c r="M29">
        <v>6</v>
      </c>
      <c r="N29" s="8" t="s">
        <v>17</v>
      </c>
      <c r="O29" s="11" t="s">
        <v>34</v>
      </c>
      <c r="P29" s="11" t="s">
        <v>38</v>
      </c>
      <c r="Q29" s="11" t="s">
        <v>40</v>
      </c>
    </row>
    <row r="30" spans="2:17" x14ac:dyDescent="0.3">
      <c r="B30" s="3">
        <f t="shared" si="1"/>
        <v>26</v>
      </c>
      <c r="C30" s="1" t="s">
        <v>66</v>
      </c>
      <c r="D30" s="10">
        <v>46080</v>
      </c>
      <c r="E30" s="10">
        <v>46082</v>
      </c>
      <c r="F30" s="9">
        <v>2</v>
      </c>
      <c r="G30" s="1">
        <v>2026</v>
      </c>
      <c r="H30" s="1" t="s">
        <v>20</v>
      </c>
      <c r="I30" s="4">
        <f t="shared" si="0"/>
        <v>160</v>
      </c>
      <c r="J30" s="6">
        <v>320</v>
      </c>
      <c r="K30" s="6">
        <v>11.62</v>
      </c>
      <c r="L30" s="6">
        <f t="shared" si="2"/>
        <v>308.38</v>
      </c>
      <c r="M30">
        <v>7</v>
      </c>
      <c r="N30" s="8" t="s">
        <v>17</v>
      </c>
      <c r="O30" s="11" t="s">
        <v>34</v>
      </c>
      <c r="P30" s="11" t="s">
        <v>38</v>
      </c>
      <c r="Q30" s="11" t="s">
        <v>40</v>
      </c>
    </row>
    <row r="31" spans="2:17" x14ac:dyDescent="0.3">
      <c r="B31" s="3">
        <f t="shared" si="1"/>
        <v>27</v>
      </c>
      <c r="C31" s="1" t="s">
        <v>67</v>
      </c>
      <c r="D31" s="10">
        <v>46092</v>
      </c>
      <c r="E31" s="10">
        <v>46097</v>
      </c>
      <c r="F31" s="9">
        <v>5</v>
      </c>
      <c r="G31" s="1">
        <v>2026</v>
      </c>
      <c r="H31" s="1" t="s">
        <v>21</v>
      </c>
      <c r="I31" s="4">
        <f t="shared" si="0"/>
        <v>148</v>
      </c>
      <c r="J31" s="6">
        <v>740</v>
      </c>
      <c r="K31" s="6">
        <v>26.86</v>
      </c>
      <c r="L31" s="6">
        <f t="shared" si="2"/>
        <v>713.14</v>
      </c>
      <c r="M31">
        <v>6</v>
      </c>
      <c r="N31" s="8" t="s">
        <v>17</v>
      </c>
      <c r="O31" s="11" t="s">
        <v>34</v>
      </c>
      <c r="P31" s="11" t="s">
        <v>37</v>
      </c>
      <c r="Q31" s="11" t="s">
        <v>37</v>
      </c>
    </row>
    <row r="32" spans="2:17" x14ac:dyDescent="0.3">
      <c r="B32" s="3">
        <f t="shared" si="1"/>
        <v>28</v>
      </c>
      <c r="C32" s="1" t="s">
        <v>68</v>
      </c>
      <c r="D32" s="10">
        <v>46099</v>
      </c>
      <c r="E32" s="10">
        <v>46101</v>
      </c>
      <c r="F32" s="9">
        <v>2</v>
      </c>
      <c r="G32" s="1">
        <v>2026</v>
      </c>
      <c r="H32" s="1" t="s">
        <v>21</v>
      </c>
      <c r="I32" s="4">
        <f t="shared" si="0"/>
        <v>160</v>
      </c>
      <c r="J32" s="6">
        <v>320</v>
      </c>
      <c r="K32" s="6">
        <v>11.62</v>
      </c>
      <c r="L32" s="6">
        <f t="shared" si="2"/>
        <v>308.38</v>
      </c>
      <c r="M32">
        <v>3</v>
      </c>
      <c r="N32" s="8" t="s">
        <v>17</v>
      </c>
      <c r="O32" s="11" t="s">
        <v>34</v>
      </c>
      <c r="P32" s="11" t="s">
        <v>37</v>
      </c>
      <c r="Q32" s="11" t="s">
        <v>40</v>
      </c>
    </row>
    <row r="33" spans="2:17" x14ac:dyDescent="0.3">
      <c r="B33" s="3">
        <f t="shared" si="1"/>
        <v>29</v>
      </c>
      <c r="C33" s="1" t="s">
        <v>69</v>
      </c>
      <c r="D33" s="10">
        <v>46101</v>
      </c>
      <c r="E33" s="10">
        <v>46103</v>
      </c>
      <c r="F33" s="9">
        <v>2</v>
      </c>
      <c r="G33" s="1">
        <v>2026</v>
      </c>
      <c r="H33" s="1" t="s">
        <v>21</v>
      </c>
      <c r="I33" s="4">
        <f t="shared" si="0"/>
        <v>160</v>
      </c>
      <c r="J33" s="6">
        <v>320</v>
      </c>
      <c r="K33" s="6">
        <v>11.62</v>
      </c>
      <c r="L33" s="6">
        <f t="shared" si="2"/>
        <v>308.38</v>
      </c>
      <c r="M33">
        <v>8</v>
      </c>
      <c r="N33" s="8" t="s">
        <v>17</v>
      </c>
      <c r="O33" s="11" t="s">
        <v>34</v>
      </c>
      <c r="P33" s="11" t="s">
        <v>37</v>
      </c>
      <c r="Q33" s="11" t="s">
        <v>40</v>
      </c>
    </row>
    <row r="34" spans="2:17" x14ac:dyDescent="0.3">
      <c r="B34" s="3">
        <f t="shared" si="1"/>
        <v>30</v>
      </c>
      <c r="C34" s="1" t="s">
        <v>70</v>
      </c>
      <c r="D34" s="10">
        <v>46108</v>
      </c>
      <c r="E34" s="10">
        <v>46110</v>
      </c>
      <c r="F34" s="9">
        <v>2</v>
      </c>
      <c r="G34" s="1">
        <v>2026</v>
      </c>
      <c r="H34" s="1" t="s">
        <v>21</v>
      </c>
      <c r="I34" s="4">
        <f t="shared" si="0"/>
        <v>160</v>
      </c>
      <c r="J34" s="6">
        <v>320</v>
      </c>
      <c r="K34" s="6">
        <v>11.62</v>
      </c>
      <c r="L34" s="6">
        <f t="shared" si="2"/>
        <v>308.38</v>
      </c>
      <c r="M34">
        <v>6</v>
      </c>
      <c r="N34" s="8" t="s">
        <v>17</v>
      </c>
      <c r="O34" s="11" t="s">
        <v>34</v>
      </c>
      <c r="P34" s="11" t="s">
        <v>37</v>
      </c>
      <c r="Q34" s="11" t="s">
        <v>40</v>
      </c>
    </row>
    <row r="35" spans="2:17" x14ac:dyDescent="0.3">
      <c r="B35" s="3">
        <f t="shared" si="1"/>
        <v>31</v>
      </c>
      <c r="C35" s="1" t="s">
        <v>71</v>
      </c>
      <c r="D35" s="10">
        <v>46112</v>
      </c>
      <c r="E35" s="12">
        <v>46114</v>
      </c>
      <c r="F35" s="9">
        <v>2</v>
      </c>
      <c r="G35" s="1">
        <v>2026</v>
      </c>
      <c r="H35" s="11" t="s">
        <v>21</v>
      </c>
      <c r="I35" s="4">
        <f t="shared" si="0"/>
        <v>140</v>
      </c>
      <c r="J35" s="6">
        <v>280</v>
      </c>
      <c r="K35" s="6">
        <v>10.16</v>
      </c>
      <c r="L35" s="6">
        <f t="shared" si="2"/>
        <v>269.83999999999997</v>
      </c>
      <c r="M35">
        <v>6</v>
      </c>
      <c r="N35" s="8" t="s">
        <v>17</v>
      </c>
      <c r="O35" s="11" t="s">
        <v>34</v>
      </c>
      <c r="P35" s="11" t="s">
        <v>37</v>
      </c>
      <c r="Q35" s="11" t="s">
        <v>40</v>
      </c>
    </row>
    <row r="36" spans="2:17" x14ac:dyDescent="0.3">
      <c r="B36" s="3">
        <f t="shared" si="1"/>
        <v>32</v>
      </c>
      <c r="C36" s="1" t="s">
        <v>72</v>
      </c>
      <c r="D36" s="10">
        <v>46114</v>
      </c>
      <c r="E36" s="10">
        <v>46116</v>
      </c>
      <c r="F36" s="9">
        <v>2</v>
      </c>
      <c r="G36" s="1">
        <v>2026</v>
      </c>
      <c r="H36" s="1" t="s">
        <v>22</v>
      </c>
      <c r="I36" s="4">
        <f t="shared" si="0"/>
        <v>162.5</v>
      </c>
      <c r="J36" s="6">
        <v>325</v>
      </c>
      <c r="K36" s="6">
        <v>11.8</v>
      </c>
      <c r="L36" s="6">
        <f t="shared" si="2"/>
        <v>313.2</v>
      </c>
      <c r="M36">
        <v>9</v>
      </c>
      <c r="N36" s="8" t="s">
        <v>17</v>
      </c>
      <c r="O36" s="11" t="s">
        <v>35</v>
      </c>
      <c r="P36" s="11" t="s">
        <v>37</v>
      </c>
      <c r="Q36" s="11" t="s">
        <v>40</v>
      </c>
    </row>
    <row r="37" spans="2:17" x14ac:dyDescent="0.3">
      <c r="B37" s="3">
        <f t="shared" si="1"/>
        <v>33</v>
      </c>
      <c r="C37" s="1" t="s">
        <v>73</v>
      </c>
      <c r="D37" s="10">
        <v>46116</v>
      </c>
      <c r="E37" s="10">
        <v>46118</v>
      </c>
      <c r="F37" s="9">
        <v>2</v>
      </c>
      <c r="G37" s="1">
        <v>2026</v>
      </c>
      <c r="H37" s="1" t="s">
        <v>22</v>
      </c>
      <c r="I37" s="4">
        <f t="shared" si="0"/>
        <v>162.5</v>
      </c>
      <c r="J37" s="6">
        <v>325</v>
      </c>
      <c r="K37">
        <f>48.75+10.03</f>
        <v>58.78</v>
      </c>
      <c r="L37" s="6">
        <f t="shared" si="2"/>
        <v>266.22000000000003</v>
      </c>
      <c r="M37">
        <v>6</v>
      </c>
      <c r="N37" s="8" t="s">
        <v>17</v>
      </c>
      <c r="O37" s="11" t="s">
        <v>35</v>
      </c>
      <c r="P37" s="11" t="s">
        <v>37</v>
      </c>
      <c r="Q37" s="11" t="s">
        <v>40</v>
      </c>
    </row>
    <row r="38" spans="2:17" x14ac:dyDescent="0.3">
      <c r="B38" s="3">
        <f t="shared" si="1"/>
        <v>34</v>
      </c>
      <c r="C38" s="1" t="s">
        <v>74</v>
      </c>
      <c r="D38" s="10">
        <v>46122</v>
      </c>
      <c r="E38" s="10">
        <v>46124</v>
      </c>
      <c r="F38" s="9">
        <v>2</v>
      </c>
      <c r="G38" s="1">
        <v>2026</v>
      </c>
      <c r="H38" s="1" t="s">
        <v>22</v>
      </c>
      <c r="I38" s="4">
        <f t="shared" si="0"/>
        <v>170</v>
      </c>
      <c r="J38" s="6">
        <v>340</v>
      </c>
      <c r="K38" s="6">
        <v>12.34</v>
      </c>
      <c r="L38" s="6">
        <f t="shared" si="2"/>
        <v>327.66000000000003</v>
      </c>
      <c r="M38">
        <v>5</v>
      </c>
      <c r="N38" s="8" t="s">
        <v>17</v>
      </c>
      <c r="O38" s="11" t="s">
        <v>35</v>
      </c>
      <c r="P38" s="11" t="s">
        <v>37</v>
      </c>
      <c r="Q38" s="11" t="s">
        <v>40</v>
      </c>
    </row>
    <row r="39" spans="2:17" x14ac:dyDescent="0.3">
      <c r="B39" s="3">
        <f t="shared" si="1"/>
        <v>35</v>
      </c>
      <c r="C39" s="1" t="s">
        <v>75</v>
      </c>
      <c r="D39" s="10">
        <v>46129</v>
      </c>
      <c r="E39" s="10">
        <v>46131</v>
      </c>
      <c r="F39" s="9">
        <v>2</v>
      </c>
      <c r="G39" s="1">
        <v>2026</v>
      </c>
      <c r="H39" s="1" t="s">
        <v>22</v>
      </c>
      <c r="I39" s="4">
        <f t="shared" si="0"/>
        <v>170</v>
      </c>
      <c r="J39" s="6">
        <v>340</v>
      </c>
      <c r="K39" s="6">
        <v>12.34</v>
      </c>
      <c r="L39" s="6">
        <f t="shared" si="2"/>
        <v>327.66000000000003</v>
      </c>
      <c r="M39">
        <v>8</v>
      </c>
      <c r="N39" s="8" t="s">
        <v>17</v>
      </c>
      <c r="O39" s="11" t="s">
        <v>35</v>
      </c>
      <c r="P39" s="11" t="s">
        <v>37</v>
      </c>
      <c r="Q39" s="11" t="s">
        <v>40</v>
      </c>
    </row>
    <row r="40" spans="2:17" x14ac:dyDescent="0.3">
      <c r="B40" s="3">
        <f t="shared" si="1"/>
        <v>36</v>
      </c>
      <c r="C40" s="1" t="s">
        <v>76</v>
      </c>
      <c r="D40" s="10">
        <v>46136</v>
      </c>
      <c r="E40" s="10">
        <v>46138</v>
      </c>
      <c r="F40" s="9">
        <v>2</v>
      </c>
      <c r="G40" s="1">
        <v>2026</v>
      </c>
      <c r="H40" s="1" t="s">
        <v>22</v>
      </c>
      <c r="I40" s="4">
        <f t="shared" si="0"/>
        <v>165</v>
      </c>
      <c r="J40" s="6">
        <v>330</v>
      </c>
      <c r="K40" s="6">
        <v>11.98</v>
      </c>
      <c r="L40" s="6">
        <f t="shared" si="2"/>
        <v>318.02</v>
      </c>
      <c r="M40">
        <v>6</v>
      </c>
      <c r="N40" s="8" t="s">
        <v>17</v>
      </c>
      <c r="O40" s="11" t="s">
        <v>35</v>
      </c>
      <c r="P40" s="11" t="s">
        <v>37</v>
      </c>
      <c r="Q40" s="11" t="s">
        <v>40</v>
      </c>
    </row>
    <row r="41" spans="2:17" x14ac:dyDescent="0.3">
      <c r="B41" s="3">
        <f t="shared" si="1"/>
        <v>37</v>
      </c>
      <c r="C41" s="1" t="s">
        <v>77</v>
      </c>
      <c r="D41" s="10">
        <v>46146</v>
      </c>
      <c r="E41" s="10">
        <v>46150</v>
      </c>
      <c r="F41" s="9">
        <v>4</v>
      </c>
      <c r="G41" s="1">
        <v>2026</v>
      </c>
      <c r="H41" s="1" t="s">
        <v>24</v>
      </c>
      <c r="I41" s="4">
        <f t="shared" si="0"/>
        <v>150</v>
      </c>
      <c r="J41" s="6">
        <v>600</v>
      </c>
      <c r="K41" s="6">
        <v>21.78</v>
      </c>
      <c r="L41" s="6">
        <f t="shared" si="2"/>
        <v>578.22</v>
      </c>
      <c r="M41">
        <v>7</v>
      </c>
      <c r="N41" s="8" t="s">
        <v>17</v>
      </c>
      <c r="O41" s="11" t="s">
        <v>35</v>
      </c>
      <c r="P41" s="11" t="s">
        <v>37</v>
      </c>
      <c r="Q41" s="11" t="s">
        <v>37</v>
      </c>
    </row>
    <row r="42" spans="2:17" x14ac:dyDescent="0.3">
      <c r="B42" s="3">
        <f t="shared" si="1"/>
        <v>38</v>
      </c>
      <c r="C42" s="1" t="s">
        <v>78</v>
      </c>
      <c r="D42" s="10">
        <v>46156</v>
      </c>
      <c r="E42" s="10">
        <v>46159</v>
      </c>
      <c r="F42" s="9">
        <v>3</v>
      </c>
      <c r="G42" s="1">
        <v>2026</v>
      </c>
      <c r="H42" s="1" t="s">
        <v>24</v>
      </c>
      <c r="I42" s="4">
        <f t="shared" si="0"/>
        <v>160</v>
      </c>
      <c r="J42" s="6">
        <v>480</v>
      </c>
      <c r="K42">
        <v>17.420000000000002</v>
      </c>
      <c r="L42" s="6">
        <f t="shared" si="2"/>
        <v>462.58</v>
      </c>
      <c r="M42">
        <v>1</v>
      </c>
      <c r="N42" s="8" t="s">
        <v>17</v>
      </c>
      <c r="O42" s="11" t="s">
        <v>35</v>
      </c>
      <c r="P42" s="11" t="s">
        <v>37</v>
      </c>
      <c r="Q42" s="11" t="s">
        <v>40</v>
      </c>
    </row>
    <row r="43" spans="2:17" x14ac:dyDescent="0.3">
      <c r="B43" s="3">
        <f t="shared" si="1"/>
        <v>39</v>
      </c>
      <c r="C43" s="1" t="s">
        <v>79</v>
      </c>
      <c r="D43" s="10">
        <v>46164</v>
      </c>
      <c r="E43" s="10">
        <v>46166</v>
      </c>
      <c r="F43" s="9">
        <v>2</v>
      </c>
      <c r="G43" s="1">
        <v>2026</v>
      </c>
      <c r="H43" s="1" t="s">
        <v>24</v>
      </c>
      <c r="I43" s="4">
        <f t="shared" si="0"/>
        <v>165</v>
      </c>
      <c r="J43" s="6">
        <v>330</v>
      </c>
      <c r="K43" s="6">
        <v>11.98</v>
      </c>
      <c r="L43" s="6">
        <f t="shared" si="2"/>
        <v>318.02</v>
      </c>
      <c r="M43">
        <v>7</v>
      </c>
      <c r="N43" s="8" t="s">
        <v>17</v>
      </c>
      <c r="O43" s="11" t="s">
        <v>35</v>
      </c>
      <c r="P43" s="11" t="s">
        <v>37</v>
      </c>
      <c r="Q43" s="11" t="s">
        <v>40</v>
      </c>
    </row>
    <row r="44" spans="2:17" x14ac:dyDescent="0.3">
      <c r="B44" s="3">
        <f t="shared" si="1"/>
        <v>40</v>
      </c>
      <c r="C44" s="1" t="s">
        <v>80</v>
      </c>
      <c r="D44" s="10">
        <v>46171</v>
      </c>
      <c r="E44" s="10">
        <v>46173</v>
      </c>
      <c r="F44" s="9">
        <v>2</v>
      </c>
      <c r="G44" s="1">
        <v>2026</v>
      </c>
      <c r="H44" s="1" t="s">
        <v>24</v>
      </c>
      <c r="I44" s="4">
        <f t="shared" si="0"/>
        <v>165</v>
      </c>
      <c r="J44" s="6">
        <v>330</v>
      </c>
      <c r="K44" s="6">
        <v>11.98</v>
      </c>
      <c r="L44" s="6">
        <f t="shared" si="2"/>
        <v>318.02</v>
      </c>
      <c r="M44">
        <v>7</v>
      </c>
      <c r="N44" s="8" t="s">
        <v>17</v>
      </c>
      <c r="O44" s="11" t="s">
        <v>35</v>
      </c>
      <c r="P44" s="11" t="s">
        <v>37</v>
      </c>
      <c r="Q44" s="11" t="s">
        <v>40</v>
      </c>
    </row>
    <row r="45" spans="2:17" x14ac:dyDescent="0.3">
      <c r="B45" s="3">
        <f t="shared" si="1"/>
        <v>41</v>
      </c>
      <c r="C45" s="1" t="s">
        <v>81</v>
      </c>
      <c r="D45" s="10">
        <v>46185</v>
      </c>
      <c r="E45" s="10">
        <v>46194</v>
      </c>
      <c r="F45" s="9">
        <v>9</v>
      </c>
      <c r="G45" s="1">
        <v>2026</v>
      </c>
      <c r="H45" s="1" t="s">
        <v>25</v>
      </c>
      <c r="I45" s="4">
        <f t="shared" si="0"/>
        <v>176.66666666666666</v>
      </c>
      <c r="J45" s="6">
        <v>1590</v>
      </c>
      <c r="K45">
        <f>159+51.95</f>
        <v>210.95</v>
      </c>
      <c r="L45" s="6">
        <f t="shared" si="2"/>
        <v>1379.05</v>
      </c>
      <c r="M45">
        <v>4</v>
      </c>
      <c r="N45" s="8" t="s">
        <v>17</v>
      </c>
      <c r="O45" s="11" t="s">
        <v>35</v>
      </c>
      <c r="P45" s="11" t="s">
        <v>36</v>
      </c>
      <c r="Q45" s="11" t="s">
        <v>37</v>
      </c>
    </row>
    <row r="46" spans="2:17" x14ac:dyDescent="0.3">
      <c r="B46" s="3">
        <f t="shared" si="1"/>
        <v>42</v>
      </c>
      <c r="C46" s="1" t="s">
        <v>82</v>
      </c>
      <c r="D46" s="10">
        <v>46201</v>
      </c>
      <c r="E46" s="10">
        <v>46213</v>
      </c>
      <c r="F46" s="9">
        <v>12</v>
      </c>
      <c r="G46" s="1">
        <v>2026</v>
      </c>
      <c r="H46" s="1" t="s">
        <v>25</v>
      </c>
      <c r="I46" s="4">
        <f t="shared" si="0"/>
        <v>190</v>
      </c>
      <c r="J46" s="6">
        <v>2280</v>
      </c>
      <c r="K46">
        <f>228+74.49</f>
        <v>302.49</v>
      </c>
      <c r="L46" s="6">
        <f t="shared" si="2"/>
        <v>1977.51</v>
      </c>
      <c r="M46">
        <v>8</v>
      </c>
      <c r="N46" s="8" t="s">
        <v>17</v>
      </c>
      <c r="O46" s="11" t="s">
        <v>35</v>
      </c>
      <c r="P46" s="11" t="s">
        <v>36</v>
      </c>
      <c r="Q46" s="11" t="s">
        <v>39</v>
      </c>
    </row>
    <row r="47" spans="2:17" x14ac:dyDescent="0.3">
      <c r="B47" s="3">
        <f t="shared" si="1"/>
        <v>43</v>
      </c>
      <c r="C47" s="1" t="s">
        <v>83</v>
      </c>
      <c r="D47" s="10">
        <v>46216</v>
      </c>
      <c r="E47" s="10" t="s">
        <v>26</v>
      </c>
      <c r="F47" s="9">
        <v>14</v>
      </c>
      <c r="G47" s="1">
        <v>2026</v>
      </c>
      <c r="H47" s="1" t="s">
        <v>10</v>
      </c>
      <c r="I47" s="4">
        <f t="shared" si="0"/>
        <v>195</v>
      </c>
      <c r="J47" s="6">
        <v>2730</v>
      </c>
      <c r="K47">
        <f>273+89.19</f>
        <v>362.19</v>
      </c>
      <c r="L47" s="6">
        <f t="shared" si="2"/>
        <v>2367.81</v>
      </c>
      <c r="M47">
        <v>6</v>
      </c>
      <c r="N47" s="8" t="s">
        <v>17</v>
      </c>
      <c r="O47" s="11" t="s">
        <v>32</v>
      </c>
      <c r="P47" s="11" t="s">
        <v>36</v>
      </c>
      <c r="Q47" s="11" t="s">
        <v>39</v>
      </c>
    </row>
    <row r="48" spans="2:17" x14ac:dyDescent="0.3">
      <c r="B48" s="3">
        <f t="shared" si="1"/>
        <v>44</v>
      </c>
      <c r="C48" s="1" t="s">
        <v>84</v>
      </c>
      <c r="D48" s="10" t="s">
        <v>26</v>
      </c>
      <c r="E48" s="10" t="s">
        <v>27</v>
      </c>
      <c r="F48" s="9">
        <v>28</v>
      </c>
      <c r="G48" s="1">
        <v>2026</v>
      </c>
      <c r="H48" s="1" t="s">
        <v>10</v>
      </c>
      <c r="I48" s="4">
        <f t="shared" si="0"/>
        <v>195</v>
      </c>
      <c r="J48" s="6">
        <v>5460</v>
      </c>
      <c r="K48">
        <f>1092+158.55</f>
        <v>1250.55</v>
      </c>
      <c r="L48" s="6">
        <f t="shared" si="2"/>
        <v>4209.45</v>
      </c>
      <c r="M48">
        <v>8</v>
      </c>
      <c r="N48" s="8" t="s">
        <v>17</v>
      </c>
      <c r="O48" s="11" t="s">
        <v>32</v>
      </c>
      <c r="P48" s="11" t="s">
        <v>36</v>
      </c>
      <c r="Q48" s="11" t="s">
        <v>39</v>
      </c>
    </row>
    <row r="49" spans="2:17" x14ac:dyDescent="0.3">
      <c r="B49" s="3">
        <f t="shared" si="1"/>
        <v>45</v>
      </c>
      <c r="C49" s="1" t="s">
        <v>85</v>
      </c>
      <c r="D49" s="10" t="s">
        <v>28</v>
      </c>
      <c r="E49" s="12">
        <v>46273</v>
      </c>
      <c r="F49" s="9">
        <v>10</v>
      </c>
      <c r="G49" s="1">
        <v>2026</v>
      </c>
      <c r="H49" s="11" t="s">
        <v>11</v>
      </c>
      <c r="I49" s="4">
        <f t="shared" si="0"/>
        <v>181</v>
      </c>
      <c r="J49" s="6">
        <v>1810</v>
      </c>
      <c r="K49">
        <f>181+59.13</f>
        <v>240.13</v>
      </c>
      <c r="L49" s="6">
        <f t="shared" si="2"/>
        <v>1569.87</v>
      </c>
      <c r="M49">
        <v>9</v>
      </c>
      <c r="N49" s="8" t="s">
        <v>17</v>
      </c>
      <c r="O49" s="11" t="s">
        <v>32</v>
      </c>
      <c r="P49" s="11" t="s">
        <v>36</v>
      </c>
      <c r="Q49" s="11" t="s">
        <v>39</v>
      </c>
    </row>
    <row r="50" spans="2:17" x14ac:dyDescent="0.3">
      <c r="B50" s="3"/>
      <c r="G50" s="1"/>
      <c r="I50" s="4"/>
      <c r="J50"/>
      <c r="K50"/>
      <c r="L50" s="6"/>
    </row>
    <row r="51" spans="2:17" x14ac:dyDescent="0.3">
      <c r="B51" s="3"/>
      <c r="G51" s="1"/>
      <c r="I51" s="4"/>
      <c r="J51"/>
      <c r="K51"/>
      <c r="L51" s="6"/>
    </row>
    <row r="52" spans="2:17" x14ac:dyDescent="0.3">
      <c r="B52" s="3"/>
      <c r="I52" s="4"/>
      <c r="J52"/>
      <c r="K52"/>
      <c r="L52" s="6"/>
    </row>
    <row r="53" spans="2:17" x14ac:dyDescent="0.3">
      <c r="B53" s="3"/>
      <c r="I53" s="4"/>
      <c r="J53"/>
      <c r="K53"/>
      <c r="L53" s="6"/>
    </row>
    <row r="54" spans="2:17" x14ac:dyDescent="0.3">
      <c r="B54" s="3"/>
      <c r="I54" s="4"/>
      <c r="J54"/>
      <c r="K54"/>
      <c r="L54" s="6"/>
    </row>
    <row r="55" spans="2:17" x14ac:dyDescent="0.3">
      <c r="B55" s="3"/>
      <c r="I55" s="4"/>
      <c r="J55"/>
      <c r="K55"/>
      <c r="L55" s="6"/>
    </row>
    <row r="56" spans="2:17" x14ac:dyDescent="0.3">
      <c r="B56" s="3"/>
      <c r="I56"/>
      <c r="J56"/>
      <c r="K56"/>
      <c r="L56" s="6"/>
    </row>
    <row r="57" spans="2:17" x14ac:dyDescent="0.3">
      <c r="B57" s="3"/>
      <c r="I57"/>
      <c r="J57"/>
      <c r="K57"/>
    </row>
    <row r="58" spans="2:17" x14ac:dyDescent="0.3">
      <c r="B58" s="3"/>
      <c r="I58"/>
      <c r="J58"/>
      <c r="K58"/>
    </row>
    <row r="59" spans="2:17" x14ac:dyDescent="0.3">
      <c r="B59" s="3"/>
      <c r="I59"/>
      <c r="J59"/>
      <c r="K59"/>
    </row>
    <row r="60" spans="2:17" x14ac:dyDescent="0.3">
      <c r="B60" s="3"/>
      <c r="I60"/>
      <c r="J60"/>
      <c r="K60"/>
    </row>
    <row r="61" spans="2:17" x14ac:dyDescent="0.3">
      <c r="B61" s="3"/>
      <c r="I61"/>
      <c r="J61"/>
      <c r="K61"/>
    </row>
    <row r="62" spans="2:17" x14ac:dyDescent="0.3">
      <c r="B62" s="3"/>
      <c r="I62"/>
      <c r="J62"/>
      <c r="K62"/>
    </row>
    <row r="63" spans="2:17" x14ac:dyDescent="0.3">
      <c r="B63" s="3"/>
      <c r="I63"/>
      <c r="J63"/>
      <c r="K63"/>
    </row>
    <row r="64" spans="2:17" x14ac:dyDescent="0.3">
      <c r="B64" s="3"/>
      <c r="I64"/>
      <c r="J64"/>
      <c r="K64"/>
    </row>
    <row r="65" spans="2:11" x14ac:dyDescent="0.3">
      <c r="B65" s="3"/>
      <c r="I65"/>
      <c r="J65"/>
      <c r="K65"/>
    </row>
    <row r="66" spans="2:11" x14ac:dyDescent="0.3">
      <c r="B66" s="3"/>
      <c r="I66"/>
      <c r="J66"/>
      <c r="K66"/>
    </row>
    <row r="67" spans="2:11" x14ac:dyDescent="0.3">
      <c r="B67" s="3"/>
      <c r="I67"/>
      <c r="J67"/>
      <c r="K67"/>
    </row>
    <row r="68" spans="2:11" x14ac:dyDescent="0.3">
      <c r="B68" s="3"/>
      <c r="I68"/>
      <c r="J68"/>
      <c r="K68"/>
    </row>
    <row r="69" spans="2:11" x14ac:dyDescent="0.3">
      <c r="B69" s="3"/>
      <c r="I69"/>
      <c r="J69"/>
      <c r="K69"/>
    </row>
    <row r="70" spans="2:11" x14ac:dyDescent="0.3">
      <c r="B70" s="3"/>
      <c r="I70"/>
      <c r="J70"/>
      <c r="K70"/>
    </row>
    <row r="71" spans="2:11" x14ac:dyDescent="0.3">
      <c r="B71" s="3"/>
      <c r="I71"/>
      <c r="J71"/>
      <c r="K71"/>
    </row>
    <row r="72" spans="2:11" x14ac:dyDescent="0.3">
      <c r="B72" s="3"/>
      <c r="I72"/>
      <c r="J72"/>
      <c r="K72"/>
    </row>
    <row r="73" spans="2:11" x14ac:dyDescent="0.3">
      <c r="B73" s="3"/>
      <c r="I73"/>
      <c r="J73"/>
      <c r="K73"/>
    </row>
    <row r="74" spans="2:11" x14ac:dyDescent="0.3">
      <c r="B74" s="3"/>
      <c r="I74"/>
      <c r="J74"/>
      <c r="K74"/>
    </row>
    <row r="75" spans="2:11" x14ac:dyDescent="0.3">
      <c r="B75" s="3"/>
      <c r="I75"/>
      <c r="J75"/>
      <c r="K75"/>
    </row>
    <row r="76" spans="2:11" x14ac:dyDescent="0.3">
      <c r="B76" s="3"/>
      <c r="I76"/>
      <c r="J76"/>
      <c r="K76"/>
    </row>
    <row r="77" spans="2:11" x14ac:dyDescent="0.3">
      <c r="B77" s="3"/>
      <c r="I77"/>
      <c r="J77"/>
      <c r="K77"/>
    </row>
    <row r="78" spans="2:11" x14ac:dyDescent="0.3">
      <c r="B78" s="3"/>
      <c r="I78"/>
      <c r="J78"/>
      <c r="K78"/>
    </row>
    <row r="79" spans="2:11" x14ac:dyDescent="0.3">
      <c r="B79" s="3"/>
      <c r="I79"/>
      <c r="J79"/>
      <c r="K79"/>
    </row>
    <row r="80" spans="2:11" x14ac:dyDescent="0.3">
      <c r="B80" s="3"/>
      <c r="I80"/>
      <c r="J80"/>
      <c r="K80"/>
    </row>
    <row r="81" spans="2:11" x14ac:dyDescent="0.3">
      <c r="B81" s="3"/>
      <c r="I81"/>
      <c r="J81"/>
      <c r="K81"/>
    </row>
    <row r="82" spans="2:11" x14ac:dyDescent="0.3">
      <c r="B82" s="3"/>
      <c r="I82"/>
      <c r="J82"/>
      <c r="K82"/>
    </row>
    <row r="83" spans="2:11" x14ac:dyDescent="0.3">
      <c r="B83" s="3"/>
      <c r="I83"/>
      <c r="J83"/>
      <c r="K83"/>
    </row>
    <row r="84" spans="2:11" x14ac:dyDescent="0.3">
      <c r="B84" s="3"/>
      <c r="I84"/>
      <c r="J84"/>
      <c r="K84"/>
    </row>
    <row r="85" spans="2:11" x14ac:dyDescent="0.3">
      <c r="B85" s="3"/>
      <c r="I85"/>
      <c r="J85"/>
      <c r="K85"/>
    </row>
    <row r="86" spans="2:11" x14ac:dyDescent="0.3">
      <c r="B86" s="3"/>
      <c r="I86"/>
      <c r="J86"/>
      <c r="K86"/>
    </row>
    <row r="87" spans="2:11" x14ac:dyDescent="0.3">
      <c r="B87" s="3"/>
      <c r="I87"/>
      <c r="J87"/>
      <c r="K87"/>
    </row>
    <row r="88" spans="2:11" x14ac:dyDescent="0.3">
      <c r="B88" s="3"/>
      <c r="I88"/>
      <c r="J88"/>
      <c r="K88"/>
    </row>
    <row r="89" spans="2:11" x14ac:dyDescent="0.3">
      <c r="B89" s="3"/>
      <c r="I89"/>
      <c r="J89"/>
      <c r="K89"/>
    </row>
    <row r="90" spans="2:11" x14ac:dyDescent="0.3">
      <c r="B90" s="3"/>
      <c r="I90"/>
      <c r="J90"/>
      <c r="K90"/>
    </row>
    <row r="91" spans="2:11" x14ac:dyDescent="0.3">
      <c r="B91" s="3"/>
      <c r="I91"/>
      <c r="J91"/>
      <c r="K91"/>
    </row>
    <row r="92" spans="2:11" x14ac:dyDescent="0.3">
      <c r="B92" s="3"/>
      <c r="I92"/>
      <c r="J92"/>
      <c r="K92"/>
    </row>
    <row r="93" spans="2:11" x14ac:dyDescent="0.3">
      <c r="B93" s="3"/>
      <c r="I93"/>
      <c r="J93"/>
      <c r="K93"/>
    </row>
    <row r="94" spans="2:11" x14ac:dyDescent="0.3">
      <c r="B94" s="3"/>
      <c r="I94"/>
      <c r="J94"/>
      <c r="K94"/>
    </row>
    <row r="95" spans="2:11" x14ac:dyDescent="0.3">
      <c r="B95" s="3"/>
      <c r="I95"/>
      <c r="J95"/>
      <c r="K95"/>
    </row>
    <row r="96" spans="2:11" x14ac:dyDescent="0.3">
      <c r="B96" s="3"/>
      <c r="I96"/>
      <c r="J96"/>
      <c r="K96"/>
    </row>
    <row r="97" spans="2:11" x14ac:dyDescent="0.3">
      <c r="B97" s="3"/>
      <c r="I97"/>
      <c r="J97"/>
      <c r="K97"/>
    </row>
    <row r="98" spans="2:11" x14ac:dyDescent="0.3">
      <c r="B98" s="3"/>
      <c r="I98"/>
      <c r="J98"/>
      <c r="K98"/>
    </row>
    <row r="99" spans="2:11" x14ac:dyDescent="0.3">
      <c r="B99" s="3"/>
      <c r="I99"/>
      <c r="J99"/>
      <c r="K99"/>
    </row>
    <row r="100" spans="2:11" x14ac:dyDescent="0.3">
      <c r="B100" s="3"/>
      <c r="I100"/>
      <c r="J100"/>
      <c r="K100"/>
    </row>
    <row r="101" spans="2:11" x14ac:dyDescent="0.3">
      <c r="B101" s="3"/>
      <c r="I101"/>
      <c r="J101"/>
      <c r="K101"/>
    </row>
    <row r="102" spans="2:11" x14ac:dyDescent="0.3">
      <c r="B102" s="3"/>
      <c r="I102"/>
      <c r="J102"/>
      <c r="K102"/>
    </row>
    <row r="103" spans="2:11" x14ac:dyDescent="0.3">
      <c r="B103" s="3"/>
      <c r="I103"/>
      <c r="J103"/>
      <c r="K103"/>
    </row>
    <row r="104" spans="2:11" x14ac:dyDescent="0.3">
      <c r="B104" s="3"/>
      <c r="I104"/>
      <c r="J104"/>
      <c r="K104"/>
    </row>
    <row r="105" spans="2:11" x14ac:dyDescent="0.3">
      <c r="B105" s="3"/>
      <c r="I105"/>
      <c r="J105"/>
      <c r="K105"/>
    </row>
    <row r="106" spans="2:11" x14ac:dyDescent="0.3">
      <c r="B106" s="3"/>
      <c r="I106"/>
      <c r="J106"/>
      <c r="K106"/>
    </row>
    <row r="107" spans="2:11" x14ac:dyDescent="0.3">
      <c r="B107" s="3"/>
      <c r="I107"/>
      <c r="J107"/>
      <c r="K107"/>
    </row>
    <row r="108" spans="2:11" x14ac:dyDescent="0.3">
      <c r="B108" s="3"/>
      <c r="I108"/>
      <c r="J108"/>
      <c r="K108"/>
    </row>
    <row r="109" spans="2:11" x14ac:dyDescent="0.3">
      <c r="B109" s="3"/>
      <c r="I109"/>
      <c r="J109"/>
      <c r="K109"/>
    </row>
    <row r="110" spans="2:11" x14ac:dyDescent="0.3">
      <c r="B110" s="3"/>
      <c r="I110"/>
      <c r="J110"/>
      <c r="K110"/>
    </row>
    <row r="111" spans="2:11" x14ac:dyDescent="0.3">
      <c r="B111" s="3"/>
      <c r="I111"/>
      <c r="J111"/>
      <c r="K111"/>
    </row>
    <row r="112" spans="2:11" x14ac:dyDescent="0.3">
      <c r="B112" s="3"/>
      <c r="I112"/>
      <c r="J112"/>
      <c r="K112"/>
    </row>
    <row r="113" spans="2:11" x14ac:dyDescent="0.3">
      <c r="B113" s="3"/>
      <c r="I113"/>
      <c r="J113"/>
      <c r="K113"/>
    </row>
    <row r="114" spans="2:11" x14ac:dyDescent="0.3">
      <c r="B114" s="3"/>
      <c r="I114"/>
      <c r="J114"/>
      <c r="K114"/>
    </row>
    <row r="115" spans="2:11" x14ac:dyDescent="0.3">
      <c r="B115" s="3"/>
      <c r="I115"/>
      <c r="J115"/>
      <c r="K115"/>
    </row>
    <row r="116" spans="2:11" x14ac:dyDescent="0.3">
      <c r="B116" s="3"/>
      <c r="I116"/>
      <c r="J116"/>
      <c r="K116"/>
    </row>
    <row r="117" spans="2:11" x14ac:dyDescent="0.3">
      <c r="B117" s="3"/>
      <c r="I117"/>
      <c r="J117"/>
      <c r="K117"/>
    </row>
    <row r="118" spans="2:11" x14ac:dyDescent="0.3">
      <c r="B118" s="3"/>
      <c r="I118"/>
      <c r="J118"/>
      <c r="K118"/>
    </row>
    <row r="119" spans="2:11" x14ac:dyDescent="0.3">
      <c r="B119" s="3"/>
      <c r="I119"/>
      <c r="J119"/>
      <c r="K119"/>
    </row>
    <row r="120" spans="2:11" x14ac:dyDescent="0.3">
      <c r="B120" s="3"/>
      <c r="I120"/>
      <c r="J120"/>
      <c r="K120"/>
    </row>
    <row r="121" spans="2:11" x14ac:dyDescent="0.3">
      <c r="B121" s="3"/>
      <c r="I121"/>
      <c r="J121"/>
      <c r="K121"/>
    </row>
    <row r="122" spans="2:11" x14ac:dyDescent="0.3">
      <c r="B122" s="3"/>
      <c r="I122"/>
      <c r="J122"/>
      <c r="K122"/>
    </row>
    <row r="123" spans="2:11" x14ac:dyDescent="0.3">
      <c r="B123" s="3"/>
      <c r="I123"/>
      <c r="J123"/>
      <c r="K123"/>
    </row>
    <row r="124" spans="2:11" x14ac:dyDescent="0.3">
      <c r="B124" s="3"/>
      <c r="I124"/>
      <c r="J124"/>
      <c r="K124"/>
    </row>
    <row r="125" spans="2:11" x14ac:dyDescent="0.3">
      <c r="B125" s="3"/>
      <c r="I125"/>
      <c r="J125"/>
      <c r="K125"/>
    </row>
    <row r="126" spans="2:11" x14ac:dyDescent="0.3">
      <c r="B126" s="3"/>
      <c r="I126"/>
      <c r="J126"/>
      <c r="K126"/>
    </row>
    <row r="127" spans="2:11" x14ac:dyDescent="0.3">
      <c r="B127" s="3"/>
      <c r="I127"/>
      <c r="J127"/>
      <c r="K127"/>
    </row>
    <row r="128" spans="2:11" x14ac:dyDescent="0.3">
      <c r="B128" s="3"/>
      <c r="I128"/>
      <c r="J128"/>
      <c r="K128"/>
    </row>
    <row r="129" spans="2:11" x14ac:dyDescent="0.3">
      <c r="B129" s="3"/>
      <c r="I129"/>
      <c r="J129"/>
      <c r="K129"/>
    </row>
    <row r="130" spans="2:11" x14ac:dyDescent="0.3">
      <c r="B130" s="3"/>
      <c r="I130"/>
      <c r="J130"/>
      <c r="K130"/>
    </row>
    <row r="131" spans="2:11" x14ac:dyDescent="0.3">
      <c r="B131" s="3"/>
      <c r="I131"/>
      <c r="J131"/>
      <c r="K131"/>
    </row>
    <row r="132" spans="2:11" x14ac:dyDescent="0.3">
      <c r="B132" s="3"/>
      <c r="I132"/>
      <c r="J132"/>
      <c r="K132"/>
    </row>
    <row r="133" spans="2:11" x14ac:dyDescent="0.3">
      <c r="B133" s="3"/>
      <c r="I133"/>
      <c r="J133"/>
      <c r="K133"/>
    </row>
    <row r="134" spans="2:11" x14ac:dyDescent="0.3">
      <c r="B134" s="3"/>
      <c r="I134"/>
      <c r="J134"/>
      <c r="K134"/>
    </row>
    <row r="135" spans="2:11" x14ac:dyDescent="0.3">
      <c r="B135" s="3"/>
      <c r="I135"/>
      <c r="J135"/>
      <c r="K135"/>
    </row>
    <row r="136" spans="2:11" x14ac:dyDescent="0.3">
      <c r="B136" s="3"/>
      <c r="I136"/>
      <c r="J136"/>
      <c r="K136"/>
    </row>
    <row r="137" spans="2:11" x14ac:dyDescent="0.3">
      <c r="B137" s="3"/>
      <c r="I137"/>
      <c r="J137"/>
      <c r="K137"/>
    </row>
    <row r="138" spans="2:11" x14ac:dyDescent="0.3">
      <c r="B138" s="3"/>
      <c r="I138"/>
      <c r="J138"/>
      <c r="K138"/>
    </row>
    <row r="139" spans="2:11" x14ac:dyDescent="0.3">
      <c r="B139" s="3"/>
      <c r="I139"/>
      <c r="J139"/>
      <c r="K139"/>
    </row>
    <row r="140" spans="2:11" x14ac:dyDescent="0.3">
      <c r="B140" s="3"/>
      <c r="I140"/>
      <c r="J140"/>
      <c r="K140"/>
    </row>
    <row r="141" spans="2:11" x14ac:dyDescent="0.3">
      <c r="B141" s="3"/>
      <c r="I141"/>
      <c r="J141"/>
      <c r="K141"/>
    </row>
    <row r="142" spans="2:11" x14ac:dyDescent="0.3">
      <c r="B142" s="3"/>
      <c r="I142"/>
      <c r="J142"/>
      <c r="K142"/>
    </row>
    <row r="143" spans="2:11" x14ac:dyDescent="0.3">
      <c r="B143" s="3"/>
      <c r="I143"/>
      <c r="J143"/>
      <c r="K143"/>
    </row>
    <row r="144" spans="2:11" x14ac:dyDescent="0.3">
      <c r="B144" s="3"/>
      <c r="I144"/>
      <c r="J144"/>
      <c r="K144"/>
    </row>
    <row r="145" spans="2:11" x14ac:dyDescent="0.3">
      <c r="B145" s="3"/>
      <c r="I145"/>
      <c r="J145"/>
      <c r="K145"/>
    </row>
    <row r="146" spans="2:11" x14ac:dyDescent="0.3">
      <c r="B146" s="3"/>
      <c r="I146"/>
      <c r="J146"/>
      <c r="K146"/>
    </row>
    <row r="147" spans="2:11" x14ac:dyDescent="0.3">
      <c r="B147" s="3"/>
      <c r="I147"/>
      <c r="J147"/>
      <c r="K147"/>
    </row>
    <row r="148" spans="2:11" x14ac:dyDescent="0.3">
      <c r="B148" s="3"/>
      <c r="I148"/>
      <c r="J148"/>
      <c r="K148"/>
    </row>
    <row r="149" spans="2:11" x14ac:dyDescent="0.3">
      <c r="B149" s="3"/>
      <c r="I149"/>
      <c r="J149"/>
      <c r="K149"/>
    </row>
    <row r="150" spans="2:11" x14ac:dyDescent="0.3">
      <c r="B150" s="3"/>
      <c r="I150"/>
      <c r="J150"/>
      <c r="K150"/>
    </row>
    <row r="151" spans="2:11" x14ac:dyDescent="0.3">
      <c r="B151" s="3"/>
      <c r="I151"/>
      <c r="J151"/>
      <c r="K151"/>
    </row>
    <row r="152" spans="2:11" x14ac:dyDescent="0.3">
      <c r="B152" s="3"/>
      <c r="I152"/>
      <c r="J152"/>
      <c r="K152"/>
    </row>
    <row r="153" spans="2:11" x14ac:dyDescent="0.3">
      <c r="B153" s="3"/>
      <c r="I153"/>
      <c r="J153"/>
      <c r="K153"/>
    </row>
    <row r="154" spans="2:11" x14ac:dyDescent="0.3">
      <c r="B154" s="3"/>
      <c r="I154"/>
      <c r="J154"/>
      <c r="K154"/>
    </row>
    <row r="155" spans="2:11" x14ac:dyDescent="0.3">
      <c r="B155" s="3"/>
      <c r="I155"/>
      <c r="J155"/>
      <c r="K155"/>
    </row>
    <row r="156" spans="2:11" x14ac:dyDescent="0.3">
      <c r="B156" s="3"/>
      <c r="I156"/>
      <c r="J156"/>
      <c r="K156"/>
    </row>
    <row r="157" spans="2:11" x14ac:dyDescent="0.3">
      <c r="B157" s="3"/>
      <c r="I157"/>
      <c r="J157"/>
      <c r="K157"/>
    </row>
    <row r="158" spans="2:11" x14ac:dyDescent="0.3">
      <c r="B158" s="3"/>
      <c r="I158"/>
      <c r="J158"/>
      <c r="K158"/>
    </row>
    <row r="159" spans="2:11" x14ac:dyDescent="0.3">
      <c r="B159" s="3"/>
      <c r="I159"/>
      <c r="J159"/>
      <c r="K159"/>
    </row>
    <row r="160" spans="2:11" x14ac:dyDescent="0.3">
      <c r="B160" s="3"/>
      <c r="I160"/>
      <c r="J160"/>
      <c r="K160"/>
    </row>
    <row r="161" spans="2:11" x14ac:dyDescent="0.3">
      <c r="B161" s="3"/>
      <c r="I161"/>
      <c r="J161"/>
      <c r="K161"/>
    </row>
    <row r="162" spans="2:11" x14ac:dyDescent="0.3">
      <c r="B162" s="3"/>
      <c r="I162"/>
      <c r="J162"/>
      <c r="K162"/>
    </row>
    <row r="163" spans="2:11" x14ac:dyDescent="0.3">
      <c r="B163" s="3"/>
      <c r="I163"/>
      <c r="J163"/>
      <c r="K163"/>
    </row>
    <row r="164" spans="2:11" x14ac:dyDescent="0.3">
      <c r="B164" s="3"/>
    </row>
    <row r="165" spans="2:11" x14ac:dyDescent="0.3">
      <c r="B165" s="3"/>
    </row>
    <row r="166" spans="2:11" x14ac:dyDescent="0.3">
      <c r="B166" s="3"/>
    </row>
    <row r="167" spans="2:11" x14ac:dyDescent="0.3">
      <c r="B167" s="3"/>
    </row>
    <row r="168" spans="2:11" x14ac:dyDescent="0.3">
      <c r="B168" s="3"/>
    </row>
    <row r="169" spans="2:11" x14ac:dyDescent="0.3">
      <c r="B169" s="3"/>
    </row>
    <row r="170" spans="2:11" x14ac:dyDescent="0.3">
      <c r="B170" s="3"/>
    </row>
    <row r="171" spans="2:11" x14ac:dyDescent="0.3">
      <c r="B171" s="3"/>
    </row>
    <row r="172" spans="2:11" x14ac:dyDescent="0.3">
      <c r="B172" s="3"/>
    </row>
    <row r="173" spans="2:11" x14ac:dyDescent="0.3">
      <c r="B173" s="3"/>
    </row>
    <row r="174" spans="2:11" x14ac:dyDescent="0.3">
      <c r="B174" s="3"/>
    </row>
    <row r="175" spans="2:11" x14ac:dyDescent="0.3">
      <c r="B175" s="3"/>
    </row>
    <row r="176" spans="2:11" x14ac:dyDescent="0.3">
      <c r="B176" s="3"/>
    </row>
    <row r="177" spans="2:2" x14ac:dyDescent="0.3">
      <c r="B177" s="3"/>
    </row>
    <row r="178" spans="2:2" x14ac:dyDescent="0.3">
      <c r="B178" s="3"/>
    </row>
    <row r="179" spans="2:2" x14ac:dyDescent="0.3">
      <c r="B179" s="3"/>
    </row>
    <row r="180" spans="2:2" x14ac:dyDescent="0.3">
      <c r="B180" s="3"/>
    </row>
    <row r="181" spans="2:2" x14ac:dyDescent="0.3">
      <c r="B181" s="3"/>
    </row>
    <row r="182" spans="2:2" x14ac:dyDescent="0.3">
      <c r="B182" s="3"/>
    </row>
  </sheetData>
  <phoneticPr fontId="2" type="noConversion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Dataset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 Manuel Escuder Martinez</dc:creator>
  <cp:lastModifiedBy>Jose Manuel Escuder Martinez</cp:lastModifiedBy>
  <dcterms:created xsi:type="dcterms:W3CDTF">2026-07-31T09:47:14Z</dcterms:created>
  <dcterms:modified xsi:type="dcterms:W3CDTF">2026-08-01T09:20:32Z</dcterms:modified>
</cp:coreProperties>
</file>